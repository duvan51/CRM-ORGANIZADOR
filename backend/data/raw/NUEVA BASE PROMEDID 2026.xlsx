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AVICENCIO" sheetId="1" r:id="rId4"/>
    <sheet state="visible" name="BOGOTA" sheetId="2" r:id="rId5"/>
    <sheet state="visible" name="PEREIRA" sheetId="3" r:id="rId6"/>
    <sheet state="visible" name="LISTADO DE PRECIOS" sheetId="4" r:id="rId7"/>
  </sheets>
  <definedNames/>
  <calcPr/>
  <extLst>
    <ext uri="GoogleSheetsCustomDataVersion2">
      <go:sheetsCustomData xmlns:go="http://customooxmlschemas.google.com/" r:id="rId8" roundtripDataChecksum="SZ1GQY8s5VYYvndcF4wLj976C+mOGhHhsOlfn9nuG6s="/>
    </ext>
  </extLst>
</workbook>
</file>

<file path=xl/sharedStrings.xml><?xml version="1.0" encoding="utf-8"?>
<sst xmlns="http://schemas.openxmlformats.org/spreadsheetml/2006/main" count="7116" uniqueCount="1069">
  <si>
    <t>MES</t>
  </si>
  <si>
    <t>CANTIDAD</t>
  </si>
  <si>
    <t>DIA</t>
  </si>
  <si>
    <t>FECHA</t>
  </si>
  <si>
    <t>HORA</t>
  </si>
  <si>
    <t>SERVICIOS</t>
  </si>
  <si>
    <t>TIPO SERVICIO</t>
  </si>
  <si>
    <t>NOMBRES COMPLETOS</t>
  </si>
  <si>
    <t>T.D</t>
  </si>
  <si>
    <t>DOCUMENTO</t>
  </si>
  <si>
    <t>CELULAR</t>
  </si>
  <si>
    <t>OBSERVACIONES</t>
  </si>
  <si>
    <t>FACTURA</t>
  </si>
  <si>
    <t>CONFIRMACION</t>
  </si>
  <si>
    <t>VENDEDOR</t>
  </si>
  <si>
    <t>OTROS</t>
  </si>
  <si>
    <t>ENERO</t>
  </si>
  <si>
    <t xml:space="preserve">VIERNES </t>
  </si>
  <si>
    <t>08:00 AM</t>
  </si>
  <si>
    <t>COLLAGENO</t>
  </si>
  <si>
    <t>INDIVIDUAL</t>
  </si>
  <si>
    <t>FANNY ESTELLA BERBAL</t>
  </si>
  <si>
    <t>CC</t>
  </si>
  <si>
    <t>FVE 780</t>
  </si>
  <si>
    <t>SI</t>
  </si>
  <si>
    <t>FERNANDA / OFICINA</t>
  </si>
  <si>
    <t xml:space="preserve">08:30 AM </t>
  </si>
  <si>
    <t xml:space="preserve">CONSULTA MEDICA </t>
  </si>
  <si>
    <t xml:space="preserve">OLGA LUCIA JIMEMEZ MORENO </t>
  </si>
  <si>
    <t xml:space="preserve">QUE  NO ALCANZA A LLEGAR </t>
  </si>
  <si>
    <t xml:space="preserve">NO </t>
  </si>
  <si>
    <t>GINNA</t>
  </si>
  <si>
    <t>09:20 AM</t>
  </si>
  <si>
    <t>MARIA NINA DAZA</t>
  </si>
  <si>
    <t>FVE 774</t>
  </si>
  <si>
    <t>MILTON DUGLAS VAQUERO</t>
  </si>
  <si>
    <t xml:space="preserve">NO ALCANZA A LLEGAR / REAGENDA PARA EL DIA LUNES </t>
  </si>
  <si>
    <t>10:20 AM</t>
  </si>
  <si>
    <t>ROSAURA SANCHEZ</t>
  </si>
  <si>
    <t>FVE 775</t>
  </si>
  <si>
    <t>10:40 AM</t>
  </si>
  <si>
    <t>DIYER GONZALEZ</t>
  </si>
  <si>
    <t>REPROGRAMA PARA EL VIERNES</t>
  </si>
  <si>
    <t>NO</t>
  </si>
  <si>
    <t>CAROLINA M</t>
  </si>
  <si>
    <t>Usuario externo</t>
  </si>
  <si>
    <t>02:00 PM</t>
  </si>
  <si>
    <t>DIGESTIVO (NUXVOM, CERENEX, EPACHEL, SCROLYN, MUCSAN, COLOZYN)</t>
  </si>
  <si>
    <t>SESION 4</t>
  </si>
  <si>
    <t>YUBY YEFAIRA AMAYA GUTIRREZ</t>
  </si>
  <si>
    <t xml:space="preserve">NO PUEDE ASISITIR </t>
  </si>
  <si>
    <t>OFICINA</t>
  </si>
  <si>
    <t>02:30 PM</t>
  </si>
  <si>
    <t>CAROLINA ARTUNDANGA TOVAR</t>
  </si>
  <si>
    <t>FVE 776</t>
  </si>
  <si>
    <t>BARRIDO ARTERIAL</t>
  </si>
  <si>
    <t>SESION 1</t>
  </si>
  <si>
    <t>MARCO TULIO ORTIZ</t>
  </si>
  <si>
    <t>FAC ELECTRONICA</t>
  </si>
  <si>
    <t>FVE 777</t>
  </si>
  <si>
    <t>MARY NELVA MARTINEZ</t>
  </si>
  <si>
    <t>FVE 778</t>
  </si>
  <si>
    <t>VIERNES</t>
  </si>
  <si>
    <t>SESION 3</t>
  </si>
  <si>
    <t xml:space="preserve">MARTHA MENDEZ </t>
  </si>
  <si>
    <t>POS 622 / RC 014</t>
  </si>
  <si>
    <r>
      <rPr>
        <rFont val="Calibri"/>
        <color theme="1"/>
        <sz val="10.0"/>
      </rPr>
      <t xml:space="preserve">DETOX ( </t>
    </r>
    <r>
      <rPr>
        <rFont val="Calibri"/>
        <b/>
        <color theme="1"/>
        <sz val="10.0"/>
      </rPr>
      <t>BERBULL, EPACHEL, NUXVOM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SCROLYN, TRARNIC</t>
    </r>
    <r>
      <rPr>
        <rFont val="Calibri"/>
        <color theme="1"/>
        <sz val="10.0"/>
      </rPr>
      <t>)</t>
    </r>
  </si>
  <si>
    <t>PAQUETE X5</t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</si>
  <si>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</si>
  <si>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t>FVE 779 / RC 016</t>
  </si>
  <si>
    <t>04:00 PM</t>
  </si>
  <si>
    <t>DETOX ( BERBULL, EPACHEL, NUXVOM, SCROLYN, TRARNIC)</t>
  </si>
  <si>
    <t>PAQUETE X4</t>
  </si>
  <si>
    <t xml:space="preserve">BRAYAN RAMIREZ </t>
  </si>
  <si>
    <t xml:space="preserve">NO ALCANZO A LLEGAR VIENE DE OTRO LADO REAGENDA LUNES 9 AM </t>
  </si>
  <si>
    <t>NUBIA LOPEZ RAMOZ</t>
  </si>
  <si>
    <t>POS 623 / RC 015</t>
  </si>
  <si>
    <t xml:space="preserve">SABADO </t>
  </si>
  <si>
    <t xml:space="preserve">09:00 AM </t>
  </si>
  <si>
    <t xml:space="preserve">BARRIDO ARTERIAL </t>
  </si>
  <si>
    <t>ADIELA RODRIGUEZ</t>
  </si>
  <si>
    <t>POS 624</t>
  </si>
  <si>
    <t>VIVIANA</t>
  </si>
  <si>
    <t>09:00 AM</t>
  </si>
  <si>
    <t>GERMAN MUÑOZ</t>
  </si>
  <si>
    <t>INICIA EL DIA MARTES</t>
  </si>
  <si>
    <t>RC 017</t>
  </si>
  <si>
    <t>YAMILE DAZA</t>
  </si>
  <si>
    <t>RC 018</t>
  </si>
  <si>
    <t>DETOX  BERBULL, EPACHEL, NUXVOM, SCROLYN, TRARNIC)</t>
  </si>
  <si>
    <t xml:space="preserve">CLAUDIA LILIANA PARRADO GUTIÉRREZ </t>
  </si>
  <si>
    <t xml:space="preserve">PAGA EN LA PRIMERA CITA </t>
  </si>
  <si>
    <t xml:space="preserve">CAROLINA </t>
  </si>
  <si>
    <t>11:00 AM</t>
  </si>
  <si>
    <t>JHON GONZALES</t>
  </si>
  <si>
    <t>SALDO EN SEGUNDA SESION $300.000</t>
  </si>
  <si>
    <t>POS 625 / RC 019</t>
  </si>
  <si>
    <t>SESION 2</t>
  </si>
  <si>
    <t xml:space="preserve">HEBERT BERMUDEZ HERNANDEZ </t>
  </si>
  <si>
    <t>FVE 781</t>
  </si>
  <si>
    <t>LUNES</t>
  </si>
  <si>
    <t>HERNAN NAVARRETE</t>
  </si>
  <si>
    <t>POS 627</t>
  </si>
  <si>
    <t>JAIR NAVARRETE</t>
  </si>
  <si>
    <t>POS 628</t>
  </si>
  <si>
    <t xml:space="preserve">ELOISA CAMARGO </t>
  </si>
  <si>
    <t>POS 629 / RC 221</t>
  </si>
  <si>
    <t>MILK THISTLE (CAPSULAS)</t>
  </si>
  <si>
    <t>POS 629</t>
  </si>
  <si>
    <r>
      <rPr>
        <rFont val="Calibri"/>
        <color theme="1"/>
        <sz val="10.0"/>
      </rPr>
      <t xml:space="preserve">DETOX </t>
    </r>
    <r>
      <rPr>
        <rFont val="Calibri"/>
        <b/>
        <color theme="1"/>
        <sz val="10.0"/>
      </rPr>
      <t>(NUXVOM, CERENEX, EPACHEL, SCROLYN, MUCSAN, COLOZYN</t>
    </r>
    <r>
      <rPr>
        <rFont val="Calibri"/>
        <color theme="1"/>
        <sz val="10.0"/>
      </rPr>
      <t>)</t>
    </r>
  </si>
  <si>
    <t>ALBA NERY MELO MORENO</t>
  </si>
  <si>
    <t>FACTURA ELECTRONICA</t>
  </si>
  <si>
    <t>POS 626 / RC 220</t>
  </si>
  <si>
    <t xml:space="preserve">OFICINA 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</si>
  <si>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RUTOX, EMZYM, PROINA, APIMEL</t>
    </r>
    <r>
      <rPr>
        <rFont val="Calibri"/>
        <color theme="1"/>
        <sz val="10.0"/>
      </rPr>
      <t>)</t>
    </r>
  </si>
  <si>
    <t>BETSABE MARTIN GUTIERREZ</t>
  </si>
  <si>
    <t>FVE 782 /  RC 222</t>
  </si>
  <si>
    <t xml:space="preserve">ISABELLA/ OFICINA </t>
  </si>
  <si>
    <t>TEL/CV</t>
  </si>
  <si>
    <t>JOSE EDILBERTO PATIÑO</t>
  </si>
  <si>
    <t>FVE 787</t>
  </si>
  <si>
    <t>JHON ALEXANDER SALAS</t>
  </si>
  <si>
    <t xml:space="preserve">VIVIANA </t>
  </si>
  <si>
    <t>MARIA ESTELA PEÑA WILCHES</t>
  </si>
  <si>
    <t>FVE 784</t>
  </si>
  <si>
    <t>promedicmedicinaalternativa@gmail.com</t>
  </si>
  <si>
    <t>02:40 PM</t>
  </si>
  <si>
    <t xml:space="preserve">INDIVIDUAL </t>
  </si>
  <si>
    <t>DEYANIRA PARDO</t>
  </si>
  <si>
    <t xml:space="preserve">SOLO LE SIRVE A LAS 12 O DESPUÉS DE LAS 5 </t>
  </si>
  <si>
    <t>03:00 PM</t>
  </si>
  <si>
    <t>MARIO IVAN GONZALEZ CORREDOR</t>
  </si>
  <si>
    <t>POS 630</t>
  </si>
  <si>
    <t>03:30 PM</t>
  </si>
  <si>
    <t>FVE 783</t>
  </si>
  <si>
    <t>CONSULTA CONTROL</t>
  </si>
  <si>
    <t>MARY ESTRELLA ROSAS</t>
  </si>
  <si>
    <t>FVE 786</t>
  </si>
  <si>
    <r>
      <rPr>
        <rFont val="Calibri"/>
        <color theme="1"/>
        <sz val="10.0"/>
      </rPr>
      <t>SUERO POTENCIALIZADOR (</t>
    </r>
    <r>
      <rPr>
        <rFont val="Calibri"/>
        <b/>
        <color theme="1"/>
        <sz val="10.0"/>
      </rPr>
      <t>CERENEX, PLAZAR,TESTES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>CHIMAL,BERBULL,EMZYM,</t>
    </r>
    <r>
      <rPr>
        <rFont val="Calibri"/>
        <color theme="1"/>
        <sz val="10.0"/>
      </rPr>
      <t>REVIT-V,</t>
    </r>
    <r>
      <rPr>
        <rFont val="Calibri"/>
        <b/>
        <color theme="1"/>
        <sz val="10.0"/>
      </rPr>
      <t>OLIGOMAX</t>
    </r>
    <r>
      <rPr>
        <rFont val="Calibri"/>
        <color theme="1"/>
        <sz val="10.0"/>
      </rPr>
      <t xml:space="preserve"> )</t>
    </r>
  </si>
  <si>
    <t xml:space="preserve">EDUARD ROMERO </t>
  </si>
  <si>
    <t>FVE 785</t>
  </si>
  <si>
    <t>MARTES</t>
  </si>
  <si>
    <t>LIMPIEZA FACIAL + PLASMA</t>
  </si>
  <si>
    <t>NO PUEDEN ASISTIR / REGANDO</t>
  </si>
  <si>
    <t xml:space="preserve">10:30 AM </t>
  </si>
  <si>
    <t>NO PUEDEN ASISTIR / REGANDARON</t>
  </si>
  <si>
    <t xml:space="preserve">BARRIDO  ARTERIAL </t>
  </si>
  <si>
    <t xml:space="preserve">YIMMY EDISON DUAÑAS SANCHEZ </t>
  </si>
  <si>
    <t>FVE 788</t>
  </si>
  <si>
    <t>POS 631 / RC 024</t>
  </si>
  <si>
    <t>POS 632 / RC 023</t>
  </si>
  <si>
    <t>VITELIO BARON</t>
  </si>
  <si>
    <t>PAGA DE CONTADO  REAGENDAR</t>
  </si>
  <si>
    <r>
      <rPr>
        <rFont val="Calibri"/>
        <color theme="1"/>
        <sz val="10.0"/>
      </rPr>
      <t>SUERO POTENCIALIZADOR (</t>
    </r>
    <r>
      <rPr>
        <rFont val="Calibri"/>
        <b/>
        <color theme="1"/>
        <sz val="10.0"/>
      </rPr>
      <t>TRARNIC, PLAZAR,TESTES,CHIMAL,BERBULL,EMZYM</t>
    </r>
    <r>
      <rPr>
        <rFont val="Calibri"/>
        <color theme="1"/>
        <sz val="10.0"/>
      </rPr>
      <t>,REVIT-V,</t>
    </r>
    <r>
      <rPr>
        <rFont val="Calibri"/>
        <b/>
        <color theme="1"/>
        <sz val="10.0"/>
      </rPr>
      <t xml:space="preserve">OLIGOMAX </t>
    </r>
  </si>
  <si>
    <t>ÁLVARO ANDRÉS SÁNCHEZ ROMERO</t>
  </si>
  <si>
    <t>FVE 789</t>
  </si>
  <si>
    <t>ROCIO ARROYAVE FIGUEROA</t>
  </si>
  <si>
    <t xml:space="preserve">LO VA A COMPARTIR CON MARIA ISABEL </t>
  </si>
  <si>
    <t>POS 633 / RC 026 - 027</t>
  </si>
  <si>
    <t xml:space="preserve">COMPARTIDO </t>
  </si>
  <si>
    <t>MARIA ISABEL FIGUEROA</t>
  </si>
  <si>
    <t>POS 634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</si>
  <si>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</si>
  <si>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JOHN JAIRO ALVAREZ HERNANDEZ</t>
  </si>
  <si>
    <t>FVE 791</t>
  </si>
  <si>
    <t>ARTRIVID (COMPRIMIDOS)</t>
  </si>
  <si>
    <t>WILMAR LOAIZA OBANDO</t>
  </si>
  <si>
    <t>POS 635 / RC 025</t>
  </si>
  <si>
    <t>AZUL DE METILENO</t>
  </si>
  <si>
    <t xml:space="preserve">YURI ALEJANDRA TAPIAS URQUIJO </t>
  </si>
  <si>
    <t xml:space="preserve">FAC ELECTRONICA </t>
  </si>
  <si>
    <t>FVE 792</t>
  </si>
  <si>
    <t>FLIMAX (COMPRIMIDOS)</t>
  </si>
  <si>
    <t>FVE 790</t>
  </si>
  <si>
    <t>05:00 PM</t>
  </si>
  <si>
    <t>MARIA DEL CARMEN LOAIZA</t>
  </si>
  <si>
    <t>POS 636</t>
  </si>
  <si>
    <t>MIÉRCOLES</t>
  </si>
  <si>
    <t>YESID TORRES</t>
  </si>
  <si>
    <t>POS 637 / RC 030</t>
  </si>
  <si>
    <t>DEJA ABONADOS 25.000 PARA DETOX ORAL</t>
  </si>
  <si>
    <t>FVE 820 / RC 030</t>
  </si>
  <si>
    <t>10:00 AM</t>
  </si>
  <si>
    <t>POS 638</t>
  </si>
  <si>
    <t>POS 639</t>
  </si>
  <si>
    <t>POS 640</t>
  </si>
  <si>
    <t>PAGA EN LA PRIMERA CITA REPROGRAMAR</t>
  </si>
  <si>
    <t>02:20 PM</t>
  </si>
  <si>
    <t>OLGA BETANCURTH</t>
  </si>
  <si>
    <t>FVE 794</t>
  </si>
  <si>
    <r>
      <rPr>
        <rFont val="Calibri"/>
        <color theme="1"/>
        <sz val="10.0"/>
      </rPr>
      <t xml:space="preserve">TERAPIA NEURAL+ </t>
    </r>
    <r>
      <rPr>
        <rFont val="Calibri"/>
        <b/>
        <color theme="1"/>
        <sz val="10.0"/>
      </rPr>
      <t xml:space="preserve">TRARNIC, BRYONAL </t>
    </r>
  </si>
  <si>
    <t xml:space="preserve">PAQUETE X 4 </t>
  </si>
  <si>
    <t>ELVIRA ROSA DUARTE TORRES</t>
  </si>
  <si>
    <t>FVE 795 / RC 028</t>
  </si>
  <si>
    <t>03:10 PM</t>
  </si>
  <si>
    <t>MARTA CONSUELO SÁNCHEZ MONTERO</t>
  </si>
  <si>
    <t>FVE 796 / RC 029</t>
  </si>
  <si>
    <r>
      <rPr>
        <rFont val="Calibri"/>
        <color theme="1"/>
        <sz val="10.0"/>
      </rPr>
      <t>SUERO 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</si>
  <si>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ANA YAMILE AMAYA RODRIGUEZ</t>
  </si>
  <si>
    <t>POS 641</t>
  </si>
  <si>
    <t>FVE 797</t>
  </si>
  <si>
    <t>04:30 PM</t>
  </si>
  <si>
    <t>POS 642</t>
  </si>
  <si>
    <t>MIERCOLES</t>
  </si>
  <si>
    <t>04:20 PM</t>
  </si>
  <si>
    <t xml:space="preserve">ALEXANDER </t>
  </si>
  <si>
    <t>NO CONTESTO</t>
  </si>
  <si>
    <t>JUEVES</t>
  </si>
  <si>
    <t>09:30 AM</t>
  </si>
  <si>
    <r>
      <rPr>
        <rFont val="Calibri"/>
        <b/>
        <color theme="1"/>
        <sz val="10.0"/>
      </rPr>
      <t>EPACHEL, SCROLYN, NUXVOM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, MUCSAN, BERBULL</t>
    </r>
    <r>
      <rPr>
        <rFont val="Calibri"/>
        <color theme="1"/>
        <sz val="10.0"/>
      </rPr>
      <t xml:space="preserve"> x2</t>
    </r>
  </si>
  <si>
    <t>SESION 2-3</t>
  </si>
  <si>
    <t>YURI VARGAS</t>
  </si>
  <si>
    <t xml:space="preserve">LE COMPARTE SESION A LA MAMA </t>
  </si>
  <si>
    <t>POS 644</t>
  </si>
  <si>
    <t>SUERO DETOX</t>
  </si>
  <si>
    <t xml:space="preserve">PAQUETE X4 </t>
  </si>
  <si>
    <t>FANNY GARCÍA</t>
  </si>
  <si>
    <t>NO CONTESTÓ NI RESPONDE MENSAJES YO CREO QUE NO ASISTE</t>
  </si>
  <si>
    <t>JAIRO VARON</t>
  </si>
  <si>
    <t>FVE 798 / RC 031</t>
  </si>
  <si>
    <t>CAROLINA</t>
  </si>
  <si>
    <t>10:30 AM</t>
  </si>
  <si>
    <t xml:space="preserve">REVITALIZANTE </t>
  </si>
  <si>
    <t>ANA LUCIA TOLEDO REY</t>
  </si>
  <si>
    <t>POS 645</t>
  </si>
  <si>
    <t>BARRIDO  ARTERIAL</t>
  </si>
  <si>
    <t>NAZLY LESMES</t>
  </si>
  <si>
    <t xml:space="preserve">BARRIDO ARTERIAL/ REVITALIZANTE /AZUL DE METILENO </t>
  </si>
  <si>
    <t>POS 646</t>
  </si>
  <si>
    <t>ERINSON ARANDA</t>
  </si>
  <si>
    <t>FVE 799 / RC 032</t>
  </si>
  <si>
    <t>CARLOS LUIS BONASSI OVIEDO</t>
  </si>
  <si>
    <t>PPT</t>
  </si>
  <si>
    <t>POS 643 / RC 033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</si>
  <si>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DISCOLVER, RUTOX, EMZYM, PROINA, APIMEL</t>
    </r>
    <r>
      <rPr>
        <rFont val="Calibri"/>
        <color theme="1"/>
        <sz val="10.0"/>
      </rPr>
      <t>)</t>
    </r>
  </si>
  <si>
    <t>ESPERANZA APONTE</t>
  </si>
  <si>
    <t>POS 647 / RC 034</t>
  </si>
  <si>
    <t>POS 649</t>
  </si>
  <si>
    <t>BARYCAR (GOTAS)</t>
  </si>
  <si>
    <t>FVE 800</t>
  </si>
  <si>
    <t>LEONARDO MEJÍA</t>
  </si>
  <si>
    <t>LE DI LA OPCIÓN DE LLEVAR LAS OTRAS SESIONES VIVE EN CASANARE</t>
  </si>
  <si>
    <t>POS 648 / RC 035</t>
  </si>
  <si>
    <t>LIMPIEZA FACIAL</t>
  </si>
  <si>
    <t>ANGUIE AGUIRRE</t>
  </si>
  <si>
    <t>FVE 802</t>
  </si>
  <si>
    <t>DIANA CASTRO M</t>
  </si>
  <si>
    <t>08:10 AM</t>
  </si>
  <si>
    <t>SUERO OSTEOARTICULAR (TRARNIC , BRYONAL, DISCOLVER, RUTOX, EMZYM, PROINA, APIMEL)</t>
  </si>
  <si>
    <t xml:space="preserve">JOHN JAIRO ÁLVAREZ HERNÁNDEZ </t>
  </si>
  <si>
    <t>cc</t>
  </si>
  <si>
    <t xml:space="preserve">NO CONTESTA / PENDINETE PARA REPROGRAMAR </t>
  </si>
  <si>
    <t>INDIVIDUAL (1)</t>
  </si>
  <si>
    <t>CONSULTA DE CONTROL</t>
  </si>
  <si>
    <t>AURA STELLA BERNAL DE ORJUELA</t>
  </si>
  <si>
    <t>FVE 806</t>
  </si>
  <si>
    <t xml:space="preserve">MEDICAMENTOS </t>
  </si>
  <si>
    <t>RC 036</t>
  </si>
  <si>
    <t>LEANDRO GUZMAN</t>
  </si>
  <si>
    <t>HACER FACTURA ELECTRONICA</t>
  </si>
  <si>
    <t>FVE 803</t>
  </si>
  <si>
    <t>09:40 AM</t>
  </si>
  <si>
    <t>CONSULTA MEDICA</t>
  </si>
  <si>
    <t>MARIA INES TRIVIÑO GUTIERREZ</t>
  </si>
  <si>
    <r>
      <rPr>
        <rFont val="Calibri"/>
        <color theme="1"/>
        <sz val="10.0"/>
      </rPr>
      <t>DETOX (</t>
    </r>
    <r>
      <rPr>
        <rFont val="Calibri"/>
        <b/>
        <color theme="1"/>
        <sz val="10.0"/>
      </rPr>
      <t>BERBULL, EPACHEL, NUXVOM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SCROLYN, TRARNIC</t>
    </r>
    <r>
      <rPr>
        <rFont val="Calibri"/>
        <color theme="1"/>
        <sz val="10.0"/>
      </rPr>
      <t>)</t>
    </r>
  </si>
  <si>
    <t>POS 650 / RC037</t>
  </si>
  <si>
    <t xml:space="preserve">RENOFF, SERENOS (COMPRIMIDOS) COLLEN, NUXVOM, HAMADRON (GOTAS) </t>
  </si>
  <si>
    <t>FVE 807</t>
  </si>
  <si>
    <t>ASCORBATO DE SODIO</t>
  </si>
  <si>
    <t>DANIEL AELJANDRO</t>
  </si>
  <si>
    <t>XXXXXXXX</t>
  </si>
  <si>
    <t xml:space="preserve">NO PUEDE AISTIR /PEDINETE PARA REAGNDAR </t>
  </si>
  <si>
    <t>CONSULTA PARA INICIAAR TRATAMIENTO</t>
  </si>
  <si>
    <t xml:space="preserve">FAC ELECTRONICA /SE CONFRIMAS CON LA ESPOSA </t>
  </si>
  <si>
    <t>FVE 808</t>
  </si>
  <si>
    <r>
      <rPr>
        <rFont val="Calibri"/>
        <color theme="1"/>
        <sz val="10.0"/>
      </rPr>
      <t>FAC ELECTRONICA</t>
    </r>
    <r>
      <rPr>
        <rFont val="Calibri"/>
        <b/>
        <color theme="1"/>
        <sz val="10.0"/>
      </rPr>
      <t xml:space="preserve"> /ES LA ESPOSA DEL SEÑOR SOLO LLAMARLA A EL</t>
    </r>
  </si>
  <si>
    <t>FVE 809</t>
  </si>
  <si>
    <t>OLINDA LAZO CUITIVA</t>
  </si>
  <si>
    <t>POS 651</t>
  </si>
  <si>
    <t>KIT DETOX (ORAL)</t>
  </si>
  <si>
    <t>FVE 810</t>
  </si>
  <si>
    <t>HYPRESOL, BERBULL (GOTAS), TRARNIC (COMPRIMIDOS)</t>
  </si>
  <si>
    <t>FVE 811</t>
  </si>
  <si>
    <t>MAURICIO ROJAS MARROQUIN</t>
  </si>
  <si>
    <t xml:space="preserve">ENVIAR A FUENTE DE ORO </t>
  </si>
  <si>
    <t>SABADO</t>
  </si>
  <si>
    <r>
      <rPr>
        <rFont val="Calibri"/>
        <color theme="1"/>
        <sz val="10.0"/>
      </rPr>
      <t>SUERO POTENCIALIZADOR (</t>
    </r>
    <r>
      <rPr>
        <rFont val="Calibri"/>
        <b/>
        <color theme="1"/>
        <sz val="10.0"/>
      </rPr>
      <t>TRARNIC, PLAZAR,TESTES,CHIMAL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>BERBULL,EMZYM</t>
    </r>
    <r>
      <rPr>
        <rFont val="Calibri"/>
        <color theme="1"/>
        <sz val="10.0"/>
      </rPr>
      <t>,REVIT-V,</t>
    </r>
    <r>
      <rPr>
        <rFont val="Calibri"/>
        <b/>
        <color theme="1"/>
        <sz val="10.0"/>
      </rPr>
      <t xml:space="preserve">OLIGOMAX </t>
    </r>
  </si>
  <si>
    <t>ANDRÉS MEDINA</t>
  </si>
  <si>
    <t>INTERCALAR CADA 4 DÍAS EL PACIENTE TRABAJA LEJOS</t>
  </si>
  <si>
    <t>POS 652 / RC 038</t>
  </si>
  <si>
    <t>FVE 812</t>
  </si>
  <si>
    <t>COMVIPLEX, BARYCAR, VERABUM(GOTAS), TRARNIC, OLIGOMAG (COMPRIMIDOS)</t>
  </si>
  <si>
    <t>YA HABIA ABONADO $200.000 EL DIA 23/01/2026</t>
  </si>
  <si>
    <t>FVE 813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</si>
  <si>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RUTOX, EMZYM, PROINA, APIMEL</t>
    </r>
    <r>
      <rPr>
        <rFont val="Calibri"/>
        <color theme="1"/>
        <sz val="10.0"/>
      </rPr>
      <t>)</t>
    </r>
  </si>
  <si>
    <t>FVE 814</t>
  </si>
  <si>
    <t>11:20 AM</t>
  </si>
  <si>
    <t>POS 653</t>
  </si>
  <si>
    <t>NO AGENDAR DESPUES DE LAS 12 / JORNADA DE FUMIGACION</t>
  </si>
  <si>
    <t xml:space="preserve">CARDIOVASCULAR (PLAZAR, HAMADRON, BARYCAR, PULSAMEP, BERBULL, CHIMAL) </t>
  </si>
  <si>
    <t>CIRO YEZID BERMUDEZ VANEGAS</t>
  </si>
  <si>
    <t>POS 654</t>
  </si>
  <si>
    <t>EDWIN AMAYA</t>
  </si>
  <si>
    <t>Cc</t>
  </si>
  <si>
    <t xml:space="preserve">NO CONTESTA </t>
  </si>
  <si>
    <t>08:30 AM</t>
  </si>
  <si>
    <t>POS 655</t>
  </si>
  <si>
    <t>WILMER SOLANO</t>
  </si>
  <si>
    <t>FCATURA ELOECTRONICA</t>
  </si>
  <si>
    <t>FVE 815 / RC 039</t>
  </si>
  <si>
    <t>OLGA LUCIA ARDILA PAVON</t>
  </si>
  <si>
    <t>FVE 816</t>
  </si>
  <si>
    <t xml:space="preserve">TERAPIA NEURAL+ TRARNIC, BRYONAL </t>
  </si>
  <si>
    <t>INDIVIDUAL(2)</t>
  </si>
  <si>
    <t>TIENE MUCHO DOLOR DE RODILLA</t>
  </si>
  <si>
    <t>MANUEL BARAHONA</t>
  </si>
  <si>
    <t>REAGENDA PARA EL VIERNES</t>
  </si>
  <si>
    <t>DETOX (NUXVOM, CERENEX, EPACHEL, SCROLYN, MUCSAN, TRARNIC)</t>
  </si>
  <si>
    <t>FVE 817</t>
  </si>
  <si>
    <t>04:45 PM</t>
  </si>
  <si>
    <t xml:space="preserve">DIMAS CARDENAS </t>
  </si>
  <si>
    <t>1 BARRIDO / 3 DIABETES</t>
  </si>
  <si>
    <t>POS 656 / RC 040</t>
  </si>
  <si>
    <t xml:space="preserve">JAKELINE VEGA GALINDO </t>
  </si>
  <si>
    <t>NO ASISTE SE LE PRESENTÓ UNA EMERGENCIA</t>
  </si>
  <si>
    <t>08:20 AM</t>
  </si>
  <si>
    <t xml:space="preserve">SUERO POTENCIALIZADOR (TRARNIC, PLAZAR,TESTES,CHIMAL,BERBULL,EMZYM,REVIT-V,OLIGOMAX </t>
  </si>
  <si>
    <t>POS 657</t>
  </si>
  <si>
    <t>KID DETOX</t>
  </si>
  <si>
    <t xml:space="preserve">ANDRÉS MEDINA    </t>
  </si>
  <si>
    <t>FVE 819</t>
  </si>
  <si>
    <t>POS 658</t>
  </si>
  <si>
    <t>PAQUETE X 4</t>
  </si>
  <si>
    <t>ANDREA VANEGAS COTRINO</t>
  </si>
  <si>
    <t>POS 659 / RC 041</t>
  </si>
  <si>
    <t>INDIVIDUAL (2)</t>
  </si>
  <si>
    <t>YA LO ESTOY CONTACTANDO</t>
  </si>
  <si>
    <t>RAUL SALCEDO CABALLERO</t>
  </si>
  <si>
    <t>FVE 818 / RC 042</t>
  </si>
  <si>
    <t>BARRIDO ARTERIAL + KIT DETOX</t>
  </si>
  <si>
    <t>SE FACTURO EL FLIMAX / DEBE 100.000</t>
  </si>
  <si>
    <t>POS 660 / RC 043</t>
  </si>
  <si>
    <t>POS 661</t>
  </si>
  <si>
    <t>SESION 2-3-4</t>
  </si>
  <si>
    <t>POS 662</t>
  </si>
  <si>
    <t>PAOLA ANDREA RAMIRES</t>
  </si>
  <si>
    <t>se compartió portafolio de servicios el día 26 y se envió información</t>
  </si>
  <si>
    <t xml:space="preserve">JUAN CARLOS RENDON </t>
  </si>
  <si>
    <t>COMPARTIDO (4)</t>
  </si>
  <si>
    <t>OSTEOARTICULAR (TRARNIC , BRYONAL, DISCOLVER, RUTOX, EMZYM, PROINA, APIMEL)</t>
  </si>
  <si>
    <t>02:30 AM</t>
  </si>
  <si>
    <t>CONSULTA</t>
  </si>
  <si>
    <t>TRANSITO VELANDIA</t>
  </si>
  <si>
    <t>TERAPIA NEURAL</t>
  </si>
  <si>
    <t>WILLIAM TORRES</t>
  </si>
  <si>
    <t>03:00 AM</t>
  </si>
  <si>
    <t>ELIZABETH CUENCA</t>
  </si>
  <si>
    <t>TENER LOS MEDICAMENTOS</t>
  </si>
  <si>
    <t>DETOX (BERBULL, EPACHEL, NUXVOM, SCROLYN, TRARNIC)</t>
  </si>
  <si>
    <t xml:space="preserve">PROXIMOS CARDIOVASCULAR </t>
  </si>
  <si>
    <t>ENBERO</t>
  </si>
  <si>
    <t>09:00 PM</t>
  </si>
  <si>
    <t>ENVIO</t>
  </si>
  <si>
    <t>DIABETES</t>
  </si>
  <si>
    <t xml:space="preserve">          </t>
  </si>
  <si>
    <t>ROXANA RODRIGUEZ</t>
  </si>
  <si>
    <t>DETOX IONICO</t>
  </si>
  <si>
    <t>FCATURA ELECTRONICA</t>
  </si>
  <si>
    <r>
      <rPr>
        <rFont val="Calibri"/>
        <color theme="1"/>
        <sz val="10.0"/>
      </rPr>
      <t>OSTEOARTICULAR (</t>
    </r>
    <r>
      <rPr>
        <rFont val="Calibri"/>
        <color theme="1"/>
        <sz val="10.0"/>
      </rPr>
      <t>TRARNIC , BRYONAL</t>
    </r>
    <r>
      <rPr>
        <rFont val="Calibri"/>
        <color theme="1"/>
        <sz val="10.0"/>
      </rPr>
      <t>,</t>
    </r>
    <r>
      <rPr>
        <rFont val="Calibri"/>
        <color theme="1"/>
        <sz val="10.0"/>
      </rPr>
      <t xml:space="preserve"> RUTOX, EMZYM, PROINA, APIMEL</t>
    </r>
    <r>
      <rPr>
        <rFont val="Calibri"/>
        <color theme="1"/>
        <sz val="10.0"/>
      </rPr>
      <t>)</t>
    </r>
  </si>
  <si>
    <t>FEBRERO</t>
  </si>
  <si>
    <t xml:space="preserve">SE FACTURO EL FLIMAX </t>
  </si>
  <si>
    <t>WILLIAM CRUZ</t>
  </si>
  <si>
    <t xml:space="preserve">MARTES </t>
  </si>
  <si>
    <t>RUBIELA AYALA</t>
  </si>
  <si>
    <t>SESIONES</t>
  </si>
  <si>
    <t>ADRIANA PATRICIA RESTREPO</t>
  </si>
  <si>
    <t>REAGENDA PARA EL SABADO 3</t>
  </si>
  <si>
    <t>OFICINA B</t>
  </si>
  <si>
    <t>SUERO OSTE( trarnic, bryonal, discolver, rutox, proina, emzym</t>
  </si>
  <si>
    <t>RICARDO ARRUBLA SANCHEZ</t>
  </si>
  <si>
    <t>FEV348</t>
  </si>
  <si>
    <t>SUERO POWER B</t>
  </si>
  <si>
    <t>SUERO(ENZYM,HAMADRON,CIMIFEM,TRARNIC,EPACHEL,PULSAMEP</t>
  </si>
  <si>
    <t>MARIA DEL CARMEN</t>
  </si>
  <si>
    <t>FEV349</t>
  </si>
  <si>
    <t>LUZ DEISY CANO ARIAS</t>
  </si>
  <si>
    <t>FEV350</t>
  </si>
  <si>
    <t>SUERO( hamadron, plazar, nuxvom, mucsan, trarnic</t>
  </si>
  <si>
    <t>LUIS FELIPE PIÑEROS ZABALA</t>
  </si>
  <si>
    <t>FEV351</t>
  </si>
  <si>
    <t>ALVARO PERILLA</t>
  </si>
  <si>
    <t>FEV352</t>
  </si>
  <si>
    <t>HECTOR MARTINEZ HINCAPIE</t>
  </si>
  <si>
    <t>FEV353</t>
  </si>
  <si>
    <t xml:space="preserve">SUERO OSTE( trarnic, bryonal, discolver, rutox, proina, emzym </t>
  </si>
  <si>
    <t xml:space="preserve">ELVIRA MARTINEZ ARIAS </t>
  </si>
  <si>
    <t>FEV354</t>
  </si>
  <si>
    <t>11:30 AM</t>
  </si>
  <si>
    <t>MIRTA PATRICIA RODRIGUEZ</t>
  </si>
  <si>
    <t>FEV355</t>
  </si>
  <si>
    <t>12:00 PM</t>
  </si>
  <si>
    <t>JAMES QUINTERO</t>
  </si>
  <si>
    <t>FEV356</t>
  </si>
  <si>
    <t>EDILMA GALEANO</t>
  </si>
  <si>
    <t>FEV357</t>
  </si>
  <si>
    <t>LORENZA MESA</t>
  </si>
  <si>
    <t>FEV358</t>
  </si>
  <si>
    <t>EDWIN GERARDO RINCON</t>
  </si>
  <si>
    <t>Factura completa</t>
  </si>
  <si>
    <t>FEV359</t>
  </si>
  <si>
    <t>POS4618</t>
  </si>
  <si>
    <t xml:space="preserve">ANGELICA SARMIENTO </t>
  </si>
  <si>
    <t>FEV360</t>
  </si>
  <si>
    <t>CARDIO (barycar,plazar, hamadron, pulsamed, berbull</t>
  </si>
  <si>
    <t>ALEXANDER BARINAS VILLAMIZAR</t>
  </si>
  <si>
    <t>FEV361</t>
  </si>
  <si>
    <t>FERNEY CAÑON BELTRAN</t>
  </si>
  <si>
    <t xml:space="preserve">NO ALCANZA A LLEGAR REAGENDA </t>
  </si>
  <si>
    <t>LUIS HEBERTO HENAO</t>
  </si>
  <si>
    <t>DIEGO SOTO</t>
  </si>
  <si>
    <t>FEV362</t>
  </si>
  <si>
    <t>OMAIRA GARCIA</t>
  </si>
  <si>
    <t>FEV363</t>
  </si>
  <si>
    <t>FRANCELINA BUITRAGO</t>
  </si>
  <si>
    <t>FEV364</t>
  </si>
  <si>
    <t xml:space="preserve">Ella   llega  alas 9  fue la hora agendada  ojo </t>
  </si>
  <si>
    <t>FEV365</t>
  </si>
  <si>
    <t>JHON FREDY DIAZ</t>
  </si>
  <si>
    <t xml:space="preserve"> LLAMA DESPUES DEL 10 ESTA VIAJANDO OJO </t>
  </si>
  <si>
    <t>CONSTANZA CAÑON CHARRY</t>
  </si>
  <si>
    <t xml:space="preserve">llega 12de el medio día </t>
  </si>
  <si>
    <t>IVAN MAURICIO MONTENEGRO</t>
  </si>
  <si>
    <t xml:space="preserve">no asiste me ayudan a ponerlo en rojo por favor </t>
  </si>
  <si>
    <t>JOSE CALDERON</t>
  </si>
  <si>
    <t>FEV367</t>
  </si>
  <si>
    <t>MAGISTRAL(bryonal, mucsan, discolver, trarnic, scrolyn, oligomax</t>
  </si>
  <si>
    <t>JAVIER MENDEZ ROMERO</t>
  </si>
  <si>
    <t>FEV368</t>
  </si>
  <si>
    <t>EDGAR DIAZ PRIETO</t>
  </si>
  <si>
    <t>FEV369</t>
  </si>
  <si>
    <t xml:space="preserve">reagendo por tiempo </t>
  </si>
  <si>
    <t>N/A</t>
  </si>
  <si>
    <t>BELLANID ROA</t>
  </si>
  <si>
    <t>QUIERE CONSULTA</t>
  </si>
  <si>
    <t>FERNANDA/ OFICINA</t>
  </si>
  <si>
    <t>FEV370</t>
  </si>
  <si>
    <t>FRANCISCO VELASQUEZ</t>
  </si>
  <si>
    <t>FEV371</t>
  </si>
  <si>
    <t>PEDRO ALEXANDER ORJUELA</t>
  </si>
  <si>
    <t>RE AGENDA</t>
  </si>
  <si>
    <t>MARIA ISABEL BETANCOURT</t>
  </si>
  <si>
    <t>FEV372</t>
  </si>
  <si>
    <t>POTENCIADOR M( cerenex, plazar, teste, chimal, berbull, emzym, oligomax, revit, multi b,</t>
  </si>
  <si>
    <t>JUAN OJEDA</t>
  </si>
  <si>
    <t>FEV373</t>
  </si>
  <si>
    <t>HARVEY GASCA RAMÍREZ</t>
  </si>
  <si>
    <t>ENVIO Calle 12 No 2B-Bis 36 Barrio La Castilla 
Departamento 
Del Caquetá 
Municipio 
Florencia</t>
  </si>
  <si>
    <t>FEV375</t>
  </si>
  <si>
    <t>HUGO ERNESTO BUITRAGO RODRÍGUEZ</t>
  </si>
  <si>
    <t>FEV374</t>
  </si>
  <si>
    <t xml:space="preserve">PASED COMPRIMIDOS </t>
  </si>
  <si>
    <t>MARIA ROJAS</t>
  </si>
  <si>
    <t xml:space="preserve">SE ENVIA </t>
  </si>
  <si>
    <t>FEV376</t>
  </si>
  <si>
    <t>ISABELLA /OFICINA</t>
  </si>
  <si>
    <t>se le olvido, la cita  reprogramaar llamr el martes</t>
  </si>
  <si>
    <t>LUIS ENRIQUE PAEZ</t>
  </si>
  <si>
    <t>FEV378</t>
  </si>
  <si>
    <t xml:space="preserve">02:00 PM </t>
  </si>
  <si>
    <t>MAGISTRAL(EPACHEL,HAMADRON,PLAZAR,TRARNIC,CERENEX,SCROLYM</t>
  </si>
  <si>
    <t xml:space="preserve">YORDY PEREZ </t>
  </si>
  <si>
    <t>CONTROL</t>
  </si>
  <si>
    <t>WILSON ALBERTO CAICEDO GONGORA</t>
  </si>
  <si>
    <t xml:space="preserve">NO PUEDE ASISTIR </t>
  </si>
  <si>
    <t>FEV379</t>
  </si>
  <si>
    <t>BIOPUNTURA</t>
  </si>
  <si>
    <t>GLORIA ESPERANZA FUQUEN MAYORGA</t>
  </si>
  <si>
    <t>FEV380</t>
  </si>
  <si>
    <t>BARRIDO(hamadron,plazar,epachel,grader, trarnic</t>
  </si>
  <si>
    <t>MAGISTRAL( berbull.hamadron,plazar,trarnic,discolver,epachel</t>
  </si>
  <si>
    <t>LIMBANIA GUTIERREZ</t>
  </si>
  <si>
    <t>FEV381</t>
  </si>
  <si>
    <t>SALCHUZ, TRARNIC, CHIMAL</t>
  </si>
  <si>
    <t>MEDICAMENTO</t>
  </si>
  <si>
    <t>BERBULL, ECHINAL</t>
  </si>
  <si>
    <t>FEV382</t>
  </si>
  <si>
    <t>RECORDARLE SUERO REVITALIZANTE ANTES DE ENERO</t>
  </si>
  <si>
    <t>ORLANDO BURBANO</t>
  </si>
  <si>
    <t>FEV383</t>
  </si>
  <si>
    <t>CHIMAL Y TRARNIC</t>
  </si>
  <si>
    <t>MAGISTRAL(TRARNIC,AGNAMAR,CERENEX, DISCOLVER, OLIGOMAX,NUXVOM</t>
  </si>
  <si>
    <t>ROSA GUTIERREZ</t>
  </si>
  <si>
    <t>FEV384</t>
  </si>
  <si>
    <t>SUERO(HAMADRON,EPACHEL,TRARNIC,CHINOFF,BERBULL</t>
  </si>
  <si>
    <t>BLANCA TURRIAGO</t>
  </si>
  <si>
    <t>FEV385</t>
  </si>
  <si>
    <t>GERMAN CASTILLO</t>
  </si>
  <si>
    <t>SUERO(discolver,ECHINAL,TRARNIC,CERENEX,cuty</t>
  </si>
  <si>
    <t>LUZ STELLA DIAZ</t>
  </si>
  <si>
    <t>SUERO(plazar,scrolym,berbull,hamadron,grader</t>
  </si>
  <si>
    <t>MAGISTRAL(scrolym,cuty,echinal,vintox,trarnic,cerenex)</t>
  </si>
  <si>
    <t>ANA YISLEY TORRES</t>
  </si>
  <si>
    <t>NO SE ENCUENTRA EN LA CIUDAD /REAGENDO</t>
  </si>
  <si>
    <t>MARIA DEL CARME ALGARRA</t>
  </si>
  <si>
    <t>FEV386</t>
  </si>
  <si>
    <t>DIANA CASTRO M CHATS</t>
  </si>
  <si>
    <t>PASED, CERENEX</t>
  </si>
  <si>
    <t>FEV387</t>
  </si>
  <si>
    <t>DETOX IOINICO</t>
  </si>
  <si>
    <t>MARGARITA ABRIL CHAVEZ</t>
  </si>
  <si>
    <t>FEV388</t>
  </si>
  <si>
    <t>ANTOXMOL, HAMADRON</t>
  </si>
  <si>
    <t>MYRIAM GIL</t>
  </si>
  <si>
    <t>FEV389</t>
  </si>
  <si>
    <t>KEVIN TURRIAGO</t>
  </si>
  <si>
    <t>TI</t>
  </si>
  <si>
    <t>FEV390</t>
  </si>
  <si>
    <t>12:00 AM</t>
  </si>
  <si>
    <t>JOSÉ GREGORIO DÍAZ RODRÍGUEZ</t>
  </si>
  <si>
    <t xml:space="preserve"> no contesta/mensajes no salen por whaticket</t>
  </si>
  <si>
    <t>FEV391</t>
  </si>
  <si>
    <t>GLANTHY</t>
  </si>
  <si>
    <t>CAROL GABRIELA SEGURA JIMENEZ</t>
  </si>
  <si>
    <t>FEV392</t>
  </si>
  <si>
    <t>BEATRIZ LEON</t>
  </si>
  <si>
    <t>FEV393</t>
  </si>
  <si>
    <t xml:space="preserve">CONTROL </t>
  </si>
  <si>
    <t>MARIA EIDER VALENZUELA DE LEON</t>
  </si>
  <si>
    <t>FEV394</t>
  </si>
  <si>
    <t xml:space="preserve">MAGISTRAL(OLIGOMAX,CUTY,HAMADRON.PLAZAR,AGNAMAR, NUXVOM </t>
  </si>
  <si>
    <t>solo 2 sesiones</t>
  </si>
  <si>
    <t>01:00 PM</t>
  </si>
  <si>
    <t>CAROLINA RODRIGUEZ</t>
  </si>
  <si>
    <t>FEV395</t>
  </si>
  <si>
    <t xml:space="preserve">DIANA CASTRO M </t>
  </si>
  <si>
    <t>ANTOXMOL,AGNAMAR</t>
  </si>
  <si>
    <t>MAGISTRAL(TRARNIC,DISCOLVER,ENZYM,OLIGOMAX,AGNAMAR,NUXVOM</t>
  </si>
  <si>
    <t>700 / 400/400</t>
  </si>
  <si>
    <t xml:space="preserve">BARRRIDO ARTERIAL </t>
  </si>
  <si>
    <t xml:space="preserve">WILLIAM ABRIL </t>
  </si>
  <si>
    <t>FEV396</t>
  </si>
  <si>
    <t>PAULA NARVAEZ</t>
  </si>
  <si>
    <t>FEV397</t>
  </si>
  <si>
    <t>CERENEX-</t>
  </si>
  <si>
    <t>trarnic</t>
  </si>
  <si>
    <t>SUERO(apimel,discolver,trarnic,oligomax,epachel</t>
  </si>
  <si>
    <t>FEV398</t>
  </si>
  <si>
    <t>MEGADOSIS DE VITAMINA C</t>
  </si>
  <si>
    <t>FEV399</t>
  </si>
  <si>
    <t>JULIO PINTO</t>
  </si>
  <si>
    <t>FEV400</t>
  </si>
  <si>
    <t>BARYCAR,PLAZAR , ANTOXMOL</t>
  </si>
  <si>
    <t>BARRIDO( BARYCAR,PLAZAR,HAMADRON,EPACHEL,OLIGOMAX</t>
  </si>
  <si>
    <t>BELLANID COID ROJAS</t>
  </si>
  <si>
    <t>FEV401</t>
  </si>
  <si>
    <t>PLAZAR, AGNAMAR, HAMADRON, ANTOXMOL, HYPRESOL</t>
  </si>
  <si>
    <t xml:space="preserve">BARRIDO(trarnic,apimel,hamadron,plazar, cerenex </t>
  </si>
  <si>
    <t>FEV402</t>
  </si>
  <si>
    <t xml:space="preserve">NOHEMI GOMEZ ONTIBON </t>
  </si>
  <si>
    <t xml:space="preserve">PAGA EN LA PRIMERA CITA reprogramar o enviar a casa ella confirma luego </t>
  </si>
  <si>
    <t xml:space="preserve"> NO</t>
  </si>
  <si>
    <t>SUERO(BARYCAR,PLAZAR,HAMADRON,NUXVOM,PULSAMEP,GRADER</t>
  </si>
  <si>
    <t>DIANA CAROLINA CUERVO SAENZ</t>
  </si>
  <si>
    <t xml:space="preserve">SE REAGENDO </t>
  </si>
  <si>
    <t>DANIEL FELIPE CRESPO</t>
  </si>
  <si>
    <t>FEV403</t>
  </si>
  <si>
    <t>FEV404</t>
  </si>
  <si>
    <t>YEYNY MAGYURI RAMIREZ TRIANA</t>
  </si>
  <si>
    <t>SENDEROS/ APLICAR UN 15% DE DCTO EN CUALQUIER TRATAMIENTO</t>
  </si>
  <si>
    <t>FERNANDA/OFICINA</t>
  </si>
  <si>
    <t>CLARIVEL HERNANDEZ</t>
  </si>
  <si>
    <t>FEV405</t>
  </si>
  <si>
    <t>ALVARO VARGAS</t>
  </si>
  <si>
    <t>FEV406</t>
  </si>
  <si>
    <t>BRAYAM HERNAN PEDRAZA VERGARA</t>
  </si>
  <si>
    <t>FEV408</t>
  </si>
  <si>
    <t>SUERO(epachel,enzym, mucsan,trarnic,nuxvom.</t>
  </si>
  <si>
    <t>MARCO ANTONIO POVEDA</t>
  </si>
  <si>
    <t>FEV409</t>
  </si>
  <si>
    <t>MUCSAN, NUXVOM C</t>
  </si>
  <si>
    <t>MAGISTRAL(MUCSAN,TRARNIC,NUXVOM,PLAZAR,EPACHEL,OLIGOMAX</t>
  </si>
  <si>
    <t>FERNANDO RINCON</t>
  </si>
  <si>
    <t>SUERO(BELL,DISCOLVER, BERBULL,CHINOFF, EPACHEL</t>
  </si>
  <si>
    <t>ESTA VIAJANDO</t>
  </si>
  <si>
    <t>DIANA ROCIO RAMOS</t>
  </si>
  <si>
    <t xml:space="preserve">NO PUEDE EN LA MAÑANA SE REAGENDO </t>
  </si>
  <si>
    <t>DIANA MARCELA PATIÑO</t>
  </si>
  <si>
    <t>SUERO(scroly, oligomax, vintox, trarnic</t>
  </si>
  <si>
    <t>DANNA VALENTINA CERINZA</t>
  </si>
  <si>
    <t xml:space="preserve">DICE QUE LA LLAMARON PARA CAMBIAR LA CITA </t>
  </si>
  <si>
    <t>FEV410</t>
  </si>
  <si>
    <t>OLGA BERNAL</t>
  </si>
  <si>
    <t>FEV411</t>
  </si>
  <si>
    <t>INFILTRACION</t>
  </si>
  <si>
    <t>JUAN GARZON</t>
  </si>
  <si>
    <t xml:space="preserve">aún no ha confirmado asistencia </t>
  </si>
  <si>
    <t>ANA CHALA</t>
  </si>
  <si>
    <t>FEV412</t>
  </si>
  <si>
    <t>DIANA BERNAL</t>
  </si>
  <si>
    <t>FEV413</t>
  </si>
  <si>
    <t>FEV414</t>
  </si>
  <si>
    <t>FEV415</t>
  </si>
  <si>
    <t>EPA</t>
  </si>
  <si>
    <t>BLANCA INES CUITIVA CAÑON</t>
  </si>
  <si>
    <t>POSOBLE PÁQUETE DE BARRIDO /no contesta</t>
  </si>
  <si>
    <t xml:space="preserve">SUERO(TRARNIC, OVAFEM,GLANTHY,GRADER,FUSOBES </t>
  </si>
  <si>
    <t>PAOLA GARZON LEON</t>
  </si>
  <si>
    <t>FEV417</t>
  </si>
  <si>
    <t>POTENCIALIZADOR(cerenex, plazar, teste, chimal, berbull, emzym, oligomax, revit, power</t>
  </si>
  <si>
    <t>GUILLERMO ROTHPFLUG</t>
  </si>
  <si>
    <t>CE</t>
  </si>
  <si>
    <t>FEV418</t>
  </si>
  <si>
    <t>SUERO(VINTOX,FUSOBES,TRARNIC,BERBULL, TESTES,NUXVOM</t>
  </si>
  <si>
    <t>10:00AM</t>
  </si>
  <si>
    <t>FEV419</t>
  </si>
  <si>
    <t>HAMACREM, ANTOXMOL, HAMADRON, NUXVOM</t>
  </si>
  <si>
    <t>SUERO(trarnic, nuxvom,hamadron,epachel,oligomax,cimifem</t>
  </si>
  <si>
    <t>590 PEN</t>
  </si>
  <si>
    <t>NEBULIZADO(scroly, oligomax, vintox, trarnic</t>
  </si>
  <si>
    <t>FEV420</t>
  </si>
  <si>
    <t>FEV421</t>
  </si>
  <si>
    <t>BIOPUNTURA / CONTROL</t>
  </si>
  <si>
    <t xml:space="preserve">NO ASISTE </t>
  </si>
  <si>
    <t>NO RECORDABA LA CITA Y YA NO ALCANZA A LLEGAR</t>
  </si>
  <si>
    <t>BEATRIZ VALDERRAMA</t>
  </si>
  <si>
    <t>FEV422</t>
  </si>
  <si>
    <t>PASED</t>
  </si>
  <si>
    <t>NEBULIZADO(hamadron,plazar,srolym,oligomax,cuty</t>
  </si>
  <si>
    <t>PAQUETE X2</t>
  </si>
  <si>
    <t>300 PEN</t>
  </si>
  <si>
    <t>FEV416</t>
  </si>
  <si>
    <t>FEV423</t>
  </si>
  <si>
    <t>FEV424</t>
  </si>
  <si>
    <t>FEV425</t>
  </si>
  <si>
    <t>380 PEN</t>
  </si>
  <si>
    <t>600 PEN</t>
  </si>
  <si>
    <t>SUERO CARDIO</t>
  </si>
  <si>
    <t>FEV426</t>
  </si>
  <si>
    <t>DOUGLAS  CUEVAS</t>
  </si>
  <si>
    <t>FEV427</t>
  </si>
  <si>
    <t>ISABELLA/OFICINA</t>
  </si>
  <si>
    <t>ANTOXMOL, PASED</t>
  </si>
  <si>
    <t>MAGISTRAL(CHIMAL,BERBULL,NUXVOM,PLAZAR,BARICAR,OLIGOMAX)</t>
  </si>
  <si>
    <t>FEV428</t>
  </si>
  <si>
    <t>DANIEL FELIPE CRESPO LAVERDE</t>
  </si>
  <si>
    <t>FEV429</t>
  </si>
  <si>
    <t>EPACHEL</t>
  </si>
  <si>
    <t>SUERO(PROINA,BERBULL,GRADER, OLIGOMAX, NUXVOM,PULSAMEP</t>
  </si>
  <si>
    <t>11:30AM</t>
  </si>
  <si>
    <t>FEV430</t>
  </si>
  <si>
    <t>MAGISTRAL(PROINA,DISCOLVER,PULSAMEP,OLIGOMAX,AGNAMAR,NUXVOM)</t>
  </si>
  <si>
    <t>500 PEN</t>
  </si>
  <si>
    <t xml:space="preserve">MIÉRCOLES </t>
  </si>
  <si>
    <t>LIEBANO BRICEÑO</t>
  </si>
  <si>
    <t>FEV431</t>
  </si>
  <si>
    <t xml:space="preserve">MAGISTRAL(BRYONAL,DISCOLVER ,CERENEX,PULSAMEP,NUXVOM,OLIGOMAX  </t>
  </si>
  <si>
    <t>FEV432</t>
  </si>
  <si>
    <t>RICARDO GUERRERO</t>
  </si>
  <si>
    <t xml:space="preserve">ESTA DE VIAJE </t>
  </si>
  <si>
    <t>FEV434</t>
  </si>
  <si>
    <t>SUERO(discolver,hamadron,epachel,cerenex,oligomax</t>
  </si>
  <si>
    <t>FEV433</t>
  </si>
  <si>
    <t>VALERIA PADILLA FLORES</t>
  </si>
  <si>
    <t>LINA CASTRO</t>
  </si>
  <si>
    <t xml:space="preserve">12:00 PM </t>
  </si>
  <si>
    <t xml:space="preserve">ALEYDA TRUJILLO RESTREPO </t>
  </si>
  <si>
    <t>FEV344</t>
  </si>
  <si>
    <t>FEV435</t>
  </si>
  <si>
    <t>BARRIDO( BARYCAR,PLAZAR,HAMADRON,NUXVOM,PULSAMEP)</t>
  </si>
  <si>
    <t>260 PEN</t>
  </si>
  <si>
    <t>FEV436</t>
  </si>
  <si>
    <t>MARIA AVENDAÑO</t>
  </si>
  <si>
    <t>FEV437</t>
  </si>
  <si>
    <t>CIMIFEN, ENZYM</t>
  </si>
  <si>
    <t>SUERO(BERBULL, CIMIFEM, OLIGOMAX, PROINA, APIMEL</t>
  </si>
  <si>
    <t>MAGISTRAL(LICOP,AGNAMAR,CERENEX, DISCOLVER, OLIGOMAX,NUXVOM</t>
  </si>
  <si>
    <t>FEV438</t>
  </si>
  <si>
    <t>FEV439</t>
  </si>
  <si>
    <t>DAVID MATEUS AVELLA</t>
  </si>
  <si>
    <t>3208403241-3107649482</t>
  </si>
  <si>
    <t>DE VIAJE PROXIMO JUEVES</t>
  </si>
  <si>
    <t>CAROLINA M.</t>
  </si>
  <si>
    <t>FEV440</t>
  </si>
  <si>
    <t xml:space="preserve">NUXVOM Y  CERENEX  </t>
  </si>
  <si>
    <t>FEV441</t>
  </si>
  <si>
    <t>MAGISTRAL(BERBULL,SCLORYN.APIMEL,PULSAMEP,CERENEX,DISCOLVER)</t>
  </si>
  <si>
    <t>CERENEX COMP</t>
  </si>
  <si>
    <t>FEV442</t>
  </si>
  <si>
    <t>BARRIDO(proina,apimel,discolver,plazar, agnamar</t>
  </si>
  <si>
    <t>560 pen</t>
  </si>
  <si>
    <t>FEV443</t>
  </si>
  <si>
    <t>SUERO(epachel,licop, mucsan,oligomax,nuxvom.</t>
  </si>
  <si>
    <t>DILSA LOZANO</t>
  </si>
  <si>
    <t>FEV444</t>
  </si>
  <si>
    <t>SUERO(glanthy,scrolym,proina,vintox,epachel,oligomax</t>
  </si>
  <si>
    <t>EYECOL</t>
  </si>
  <si>
    <t>CARLOS MONTOYA</t>
  </si>
  <si>
    <t>FEV445</t>
  </si>
  <si>
    <t>MAGISTRAL(plazar,hamadron,vintox ,berbull,proina,oligomax</t>
  </si>
  <si>
    <t>INDIVIDUAL3</t>
  </si>
  <si>
    <t xml:space="preserve">TEOFILDE GAONA </t>
  </si>
  <si>
    <t>FEV446</t>
  </si>
  <si>
    <t>CLAUDIA GAITAN</t>
  </si>
  <si>
    <t>FEV447</t>
  </si>
  <si>
    <t>OFICINA HERIKA</t>
  </si>
  <si>
    <t xml:space="preserve">HAMADRON, PLAZAR, SCROLYM </t>
  </si>
  <si>
    <t>SUERO(apimel,discolver,proina,oligomax,epachel</t>
  </si>
  <si>
    <t>FEV448</t>
  </si>
  <si>
    <t>MAGISTRAL(thujox, bryonal, scrolym, plazar,trarnic,proina</t>
  </si>
  <si>
    <t>ADRIANA VARGAS</t>
  </si>
  <si>
    <t xml:space="preserve">SI </t>
  </si>
  <si>
    <t>FEV449</t>
  </si>
  <si>
    <t>SAMUEL MARTÍNEZ LEON</t>
  </si>
  <si>
    <t>FEV450</t>
  </si>
  <si>
    <t>TRARNICREM, SCROLYN</t>
  </si>
  <si>
    <t>NEBULIZADO(VINTOX, SCROLYM, ECHINAL</t>
  </si>
  <si>
    <t>EVELINA GUEVARA</t>
  </si>
  <si>
    <t>ISABELLA/ OFICINA</t>
  </si>
  <si>
    <t>REPROGRAMAR martes</t>
  </si>
  <si>
    <t xml:space="preserve">REPROGRAMAR MARTES </t>
  </si>
  <si>
    <t>FEV451</t>
  </si>
  <si>
    <t xml:space="preserve">CANCELA NO PUEDE ASSISTIR </t>
  </si>
  <si>
    <t xml:space="preserve">SÁBADO </t>
  </si>
  <si>
    <t>1/17/2026</t>
  </si>
  <si>
    <t>ROGER LOPEZ</t>
  </si>
  <si>
    <t>FEV453</t>
  </si>
  <si>
    <t>ANTOXMOL, BERBULL, EPACHEL</t>
  </si>
  <si>
    <t>LAURA MOLANO</t>
  </si>
  <si>
    <t>FEV454</t>
  </si>
  <si>
    <t>CERENEX, GLANTY, SCROLYN</t>
  </si>
  <si>
    <t>FEV455</t>
  </si>
  <si>
    <t>JESUS MOSQUERA MORENO</t>
  </si>
  <si>
    <t>DETOX Y BARRIDO ARTERIAL</t>
  </si>
  <si>
    <t>BRANDOM</t>
  </si>
  <si>
    <t>NO DA</t>
  </si>
  <si>
    <t>REQUIERE LOS DOS TRATAMIENTOS PERO NO DA APELLIDO</t>
  </si>
  <si>
    <t>CUTY, HAMADRON, PLAZAR</t>
  </si>
  <si>
    <t>FEV452</t>
  </si>
  <si>
    <t>MAGISTRAL(hamadron,plazar,trarnic,discolver,oligomax,cuty</t>
  </si>
  <si>
    <t>GUSTAVO RINCÓN URIBE</t>
  </si>
  <si>
    <t xml:space="preserve">REAGENDA PARA MAÑANA </t>
  </si>
  <si>
    <t>YORDY PEREZ</t>
  </si>
  <si>
    <t>EUDOSIA CARRILLO</t>
  </si>
  <si>
    <t>FEV456</t>
  </si>
  <si>
    <t>11:30 a.m</t>
  </si>
  <si>
    <t>INMUNO(oligomax, emzym, galdepur, vintox, echinal</t>
  </si>
  <si>
    <t>SESION 1-2</t>
  </si>
  <si>
    <t>HUMBERTO ANTONIO RODRIGUEZ</t>
  </si>
  <si>
    <t>FEV457</t>
  </si>
  <si>
    <t>DIANA</t>
  </si>
  <si>
    <t>1:00 p.m</t>
  </si>
  <si>
    <t xml:space="preserve">REINALDO ANDRES TRUJILLO LOZANO </t>
  </si>
  <si>
    <t>FEV458</t>
  </si>
  <si>
    <t>BARRIDO(epachel, plazar, hamadron, trarnic, oligomax</t>
  </si>
  <si>
    <t>PACIENTE DE VILLAVICENCIO</t>
  </si>
  <si>
    <t>FEV459</t>
  </si>
  <si>
    <t>FEV460</t>
  </si>
  <si>
    <t>DOUGLAS CUEVAS</t>
  </si>
  <si>
    <t>FEV461</t>
  </si>
  <si>
    <t>EPACHEL, PLAZAR</t>
  </si>
  <si>
    <t>FEV462</t>
  </si>
  <si>
    <t xml:space="preserve">SONIA  MONTENEGRO </t>
  </si>
  <si>
    <t>ESTÁ ENFERMA TIENE DIARREA NO ASISTE</t>
  </si>
  <si>
    <t xml:space="preserve">MONICA ANDREA LOPEZ ALVAREZ </t>
  </si>
  <si>
    <t>REAGENDA PARA MAÑANA ESTÁ EN REUNIÓN</t>
  </si>
  <si>
    <t>LEWIS MERCADO</t>
  </si>
  <si>
    <t>SUERO (SCROLYM,ENZYM,GRADER,PLAZAR,CUTY</t>
  </si>
  <si>
    <t>FEV463</t>
  </si>
  <si>
    <t>FEV464</t>
  </si>
  <si>
    <t>MARIA ELVIRA CASTRO</t>
  </si>
  <si>
    <t>80PEND</t>
  </si>
  <si>
    <t>FEV465</t>
  </si>
  <si>
    <t>RC045</t>
  </si>
  <si>
    <t>FEV466</t>
  </si>
  <si>
    <t>FEV467</t>
  </si>
  <si>
    <t>MARÍA LIGIA TORRES TORRES</t>
  </si>
  <si>
    <t>FEV468</t>
  </si>
  <si>
    <t>ANGEL GIOVANNY HERNÁNDEZ</t>
  </si>
  <si>
    <t xml:space="preserve">NO CONTESTA CANCELA Y QUIERE REPROGRAMAR </t>
  </si>
  <si>
    <t>FEV469</t>
  </si>
  <si>
    <t>VINTOX Y BRYONAL</t>
  </si>
  <si>
    <t>FEV470</t>
  </si>
  <si>
    <t>FEV471</t>
  </si>
  <si>
    <t>BIO PEN</t>
  </si>
  <si>
    <t>FEV472</t>
  </si>
  <si>
    <t>11:00 a.m</t>
  </si>
  <si>
    <t>HABRAHAM JOYA BLANCO</t>
  </si>
  <si>
    <t>FEV473</t>
  </si>
  <si>
    <t>NEBULIZADO (hamadron,plazar,srolym,oligomax,cuty</t>
  </si>
  <si>
    <t>300PEN</t>
  </si>
  <si>
    <t>FEV474</t>
  </si>
  <si>
    <t>ORFILIO GARCES</t>
  </si>
  <si>
    <t>FEV475</t>
  </si>
  <si>
    <t>DISCOLVER, CERENEX, BRYONAL</t>
  </si>
  <si>
    <t>MAGISTRAL(discolver,trarnic,bryonal,apimel,oligomax,testes</t>
  </si>
  <si>
    <t>FEV476</t>
  </si>
  <si>
    <t>MAGISTRAL(BRYONAL,DISCOLVER ,CERENEX,PULSAMEP,NUXVOM,OLIGOMAX</t>
  </si>
  <si>
    <t>FEV477</t>
  </si>
  <si>
    <t>BRYONAL, DISCOLVER, CERENEX  Y ENZYM</t>
  </si>
  <si>
    <t>MARIA GLADYS ARBOLEDA</t>
  </si>
  <si>
    <t>250 pen</t>
  </si>
  <si>
    <t>FEV478</t>
  </si>
  <si>
    <t>PAULA ALEJANDRA PEÑA TURRIAGO</t>
  </si>
  <si>
    <t>FEV479</t>
  </si>
  <si>
    <t>OFICINA/ YERAL</t>
  </si>
  <si>
    <t>si</t>
  </si>
  <si>
    <t>FEV480</t>
  </si>
  <si>
    <t>LAURA YINETH PEÑA</t>
  </si>
  <si>
    <t>NO PUEDE AISTIR</t>
  </si>
  <si>
    <t>MSJ</t>
  </si>
  <si>
    <t>FEV481</t>
  </si>
  <si>
    <t>BARRRIDO ARTERIAL</t>
  </si>
  <si>
    <t>WILLIAM ABRIL</t>
  </si>
  <si>
    <t>FEV482</t>
  </si>
  <si>
    <t>YOLANDA ESTELA GUTIÉRREZ</t>
  </si>
  <si>
    <t>FEV483</t>
  </si>
  <si>
    <t>FEV484</t>
  </si>
  <si>
    <t>FEV485</t>
  </si>
  <si>
    <t>MAGISTRAL(epachel, scrolyn, vintox, grader, enzym, trarnic</t>
  </si>
  <si>
    <t>VILLAO</t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</si>
  <si>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</si>
  <si>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</si>
  <si>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t>FEV486</t>
  </si>
  <si>
    <t>CONSULTA MÉDICA</t>
  </si>
  <si>
    <t>LUISA MARIA TRULLO ARTUNDUAGA</t>
  </si>
  <si>
    <t>FEV487</t>
  </si>
  <si>
    <t>MAGISTRAL(PLAZAR,OVAFEM,CUTY,SCROLYM,NUXVOM,OLIGOMAX</t>
  </si>
  <si>
    <t>FEV488</t>
  </si>
  <si>
    <t>DISCOLVER Y SCROLYN</t>
  </si>
  <si>
    <t>POTENCIADOR MASCULINO</t>
  </si>
  <si>
    <t>CIRO ANTONIO MENDOZA PATIÑO</t>
  </si>
  <si>
    <t>NO CONTESTA</t>
  </si>
  <si>
    <t>FEV489</t>
  </si>
  <si>
    <t>FEV490</t>
  </si>
  <si>
    <t>FEV491</t>
  </si>
  <si>
    <t>YEISON ORTIZ</t>
  </si>
  <si>
    <t>FEV492</t>
  </si>
  <si>
    <t>FEV493</t>
  </si>
  <si>
    <t>WILMER FLORE SIMANCA</t>
  </si>
  <si>
    <t xml:space="preserve">NO ME HA CONFIRMADO </t>
  </si>
  <si>
    <t>CARLOS ANDRES BARRERA GUZMAN</t>
  </si>
  <si>
    <t xml:space="preserve">NO CONTESTA YA NO QUIERE EL SERVICIO </t>
  </si>
  <si>
    <t>NO PUEDE ASISTIR</t>
  </si>
  <si>
    <t>MARTA CECILIA GUEVARA CASTIBLANCO</t>
  </si>
  <si>
    <t>FEV494</t>
  </si>
  <si>
    <t>FEV495</t>
  </si>
  <si>
    <t>MAGISTRAL(plazar,hamadron,vintox ,berbull,chimal,oligomax)</t>
  </si>
  <si>
    <t>FEV496</t>
  </si>
  <si>
    <t>SUERO(glanthy,scrolym,agnamar,cerenex,nuxvom,trarnic</t>
  </si>
  <si>
    <t>50 PEN</t>
  </si>
  <si>
    <t>FEV497</t>
  </si>
  <si>
    <t>FEV498</t>
  </si>
  <si>
    <t>MAGISTRAL(nuxvom,trarnic,bryonal,apimel,oligomax,testes</t>
  </si>
  <si>
    <t>SESION 3-4</t>
  </si>
  <si>
    <t>EDWIN ALEJANDRO VEGA</t>
  </si>
  <si>
    <t>NO ME CONTESTA</t>
  </si>
  <si>
    <t xml:space="preserve">WILLIAM ROJAS </t>
  </si>
  <si>
    <t>FEV499</t>
  </si>
  <si>
    <t>MAGISTRAL(scrolym,cuty,nuxvom,vintox,tragnic,oligomax)</t>
  </si>
  <si>
    <t>FEV500</t>
  </si>
  <si>
    <t>2:00 p.m</t>
  </si>
  <si>
    <t>ROSA DELIA AYA</t>
  </si>
  <si>
    <t>100 PEN</t>
  </si>
  <si>
    <t>FEV501</t>
  </si>
  <si>
    <t xml:space="preserve">MARIA DEL CARMEN </t>
  </si>
  <si>
    <t>ACABO DE ESCRIBIR NO PUEDE ASISTIR</t>
  </si>
  <si>
    <t>FEV502</t>
  </si>
  <si>
    <t>FEV503</t>
  </si>
  <si>
    <t>FEV504</t>
  </si>
  <si>
    <t>FEV505</t>
  </si>
  <si>
    <t>TRARNIC</t>
  </si>
  <si>
    <t>FEV506</t>
  </si>
  <si>
    <t>PASED, TRARNIC</t>
  </si>
  <si>
    <t xml:space="preserve"> NO CONTESTA </t>
  </si>
  <si>
    <t>MAGOLA DUARTE CADENA</t>
  </si>
  <si>
    <t>10:00 a.m</t>
  </si>
  <si>
    <t>FEV507</t>
  </si>
  <si>
    <t>SUERO OSTE( trarnic, bryonal, discolver, pulsamep, berbull, emzyn</t>
  </si>
  <si>
    <t>DOLORES CASTRO</t>
  </si>
  <si>
    <t>FEV508</t>
  </si>
  <si>
    <t>PLAZAR  Y  TRARNIC, ANTOXMOL</t>
  </si>
  <si>
    <t>MAGISTRAL(TRARNIC, DISCOLVER, OLIGOMAX, EPACHEL, SCROLYM, PLAZAR</t>
  </si>
  <si>
    <t>MARÍA ESTELA CERQUERA</t>
  </si>
  <si>
    <t>AYER CONFIRMÓ HOY NO ME CONTESTA</t>
  </si>
  <si>
    <t xml:space="preserve">LICETH MAYERLY MAHECHA </t>
  </si>
  <si>
    <t>FEV509</t>
  </si>
  <si>
    <t>DISCOLVER, TRARNIC, BRYONAL, ANTOXMOL</t>
  </si>
  <si>
    <t>MAGISTRAL(trarnic,bryonal,discolver,scrolym,pulsamep,oligomax</t>
  </si>
  <si>
    <t>12:00 p.m</t>
  </si>
  <si>
    <t>CARLOS JULIO SANDOVAL</t>
  </si>
  <si>
    <t>FEV510</t>
  </si>
  <si>
    <t>CHIMAL, BRYONAL, ENZYM</t>
  </si>
  <si>
    <t>MAGISTRAL(trarnic,discolver,pulsamep,chimal,oligomax,berbull</t>
  </si>
  <si>
    <t>60 PEN</t>
  </si>
  <si>
    <t>FEV511</t>
  </si>
  <si>
    <t>340 PEN</t>
  </si>
  <si>
    <t xml:space="preserve">ROSA AMARILLA PUENTES </t>
  </si>
  <si>
    <t>FEV512</t>
  </si>
  <si>
    <t xml:space="preserve">FRANCISCO JAVIER GALEANO </t>
  </si>
  <si>
    <t>FEV513</t>
  </si>
  <si>
    <t>FEV514</t>
  </si>
  <si>
    <t>SUERO(BERBULL, CHINOFF, BARYCAR, PLAZAR, EPACHEL</t>
  </si>
  <si>
    <t>FEV515</t>
  </si>
  <si>
    <t>BARYCAR</t>
  </si>
  <si>
    <t xml:space="preserve">MAGISTRAL(glanthy,scrolym,proina,agnamar,ooligomax,cerenex </t>
  </si>
  <si>
    <t>FEV516</t>
  </si>
  <si>
    <t>AGNAMAR, TRARNIC</t>
  </si>
  <si>
    <t>FEV517</t>
  </si>
  <si>
    <t>SUERO(apimel, discolver, proina, oligomax, epachel</t>
  </si>
  <si>
    <t>FEV518</t>
  </si>
  <si>
    <t>REVITALIZANTE (cerenex, scrolyn, emzym, galdepur, oligomax, ovafem</t>
  </si>
  <si>
    <t>NELLY LEON VALENZUELA</t>
  </si>
  <si>
    <t>FEV519</t>
  </si>
  <si>
    <t>FEV520</t>
  </si>
  <si>
    <t>MAGISTRAL(proina,bryonal,discolver,scrolym,pulsamep,oligomax</t>
  </si>
  <si>
    <t xml:space="preserve"> SE LLEVA LOS 2 SUEROS</t>
  </si>
  <si>
    <t>NUXVOM</t>
  </si>
  <si>
    <t>FEV521</t>
  </si>
  <si>
    <t>POS4619</t>
  </si>
  <si>
    <t>ANTONIO LEMUS</t>
  </si>
  <si>
    <t>FEV522</t>
  </si>
  <si>
    <t>TRARNIC, BARYCAR</t>
  </si>
  <si>
    <t>ENVIAR ESTUDIO</t>
  </si>
  <si>
    <t>MAGISTRAL(BARYCAR,MUCSAN,PROINA,SCROLYM,EPACHEL,OLIGOMAX</t>
  </si>
  <si>
    <t>FEV523</t>
  </si>
  <si>
    <t>FEV524</t>
  </si>
  <si>
    <t>REAGENDA</t>
  </si>
  <si>
    <t>FEV525</t>
  </si>
  <si>
    <t>MAGISTRAL(hamadron, plazar, trarnic, pulsamep, oligomax, cuty</t>
  </si>
  <si>
    <t>SIZY, TRARNIC</t>
  </si>
  <si>
    <t>SUERO(plazar,hamadron,oligomax,pulsamep,epachel</t>
  </si>
  <si>
    <t>FEV526</t>
  </si>
  <si>
    <t>HAMADRON, PLAZAR, OLIGO</t>
  </si>
  <si>
    <t xml:space="preserve">SUERO DETOX </t>
  </si>
  <si>
    <t xml:space="preserve">ANDRES CRUZ </t>
  </si>
  <si>
    <t>NO ME CONFIRMÓ ASISTENCIA</t>
  </si>
  <si>
    <t>ESTÁ INDISPUESTO NO PUEDE PASAR</t>
  </si>
  <si>
    <t>. solo puede hasta las 5 de la tarde</t>
  </si>
  <si>
    <t>FEV527</t>
  </si>
  <si>
    <t>FEV528</t>
  </si>
  <si>
    <t>MARIA ESTELA CERQUERA</t>
  </si>
  <si>
    <t>FEV529</t>
  </si>
  <si>
    <t>DISCOLVER Y TRARNIC, PASED</t>
  </si>
  <si>
    <t>SUERO(EPACHEL,TRARNIC,DISOLVER, PULSAMEP,OLIGOMAX</t>
  </si>
  <si>
    <t>670 PEN</t>
  </si>
  <si>
    <t>PLUTARCO JAIME HERNÁNDEZ</t>
  </si>
  <si>
    <t>FEV530</t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</si>
  <si>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</si>
  <si>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</si>
  <si>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t>FEV531</t>
  </si>
  <si>
    <t>MAGISTRAL(NUXVOM,PROINA,CERENEX,OVAFEM,MUCSAN,OLIGOMAX</t>
  </si>
  <si>
    <t>FEV532</t>
  </si>
  <si>
    <t>FEV533</t>
  </si>
  <si>
    <t>FEV534</t>
  </si>
  <si>
    <t>REVITA( cerenex, scrolyn, emzym, galdepur, oligomax, teste</t>
  </si>
  <si>
    <t>BUEN ERGES VARVAS CHAPARRO</t>
  </si>
  <si>
    <t>FEV535</t>
  </si>
  <si>
    <t>ES DE VILLAVICENCIO</t>
  </si>
  <si>
    <t xml:space="preserve">REAGENDAR </t>
  </si>
  <si>
    <t xml:space="preserve">CONSULTA </t>
  </si>
  <si>
    <t xml:space="preserve"> REAGENDADA 28</t>
  </si>
  <si>
    <t xml:space="preserve">ENERO </t>
  </si>
  <si>
    <t>CARMEN HERMENCIA DIAZ DE ORTIZ</t>
  </si>
  <si>
    <t>BLANCA MESA ESPINEL</t>
  </si>
  <si>
    <t>FEV536</t>
  </si>
  <si>
    <t>VERSELIO GARCIA GARCIA</t>
  </si>
  <si>
    <t>FEV537</t>
  </si>
  <si>
    <t xml:space="preserve">04:00 PM </t>
  </si>
  <si>
    <t xml:space="preserve">PEDRO FERNANDO HERRERA PLAZAS </t>
  </si>
  <si>
    <t>FEV538</t>
  </si>
  <si>
    <t>POTENCIADOR(cerenex, plazar, teste, chimal, berbull, enzym, oligomax, revit, power b</t>
  </si>
  <si>
    <t>JOSE RAMIREZ ROMERO</t>
  </si>
  <si>
    <t>FEV539</t>
  </si>
  <si>
    <t>HIRMA OMAIRA SALIMAS</t>
  </si>
  <si>
    <t>FEV540</t>
  </si>
  <si>
    <t xml:space="preserve">GINNA </t>
  </si>
  <si>
    <t>GHERALDID POMACAJA JIMENEZ</t>
  </si>
  <si>
    <t>TRANS</t>
  </si>
  <si>
    <t>DIANA CASTRO</t>
  </si>
  <si>
    <t>MUCSAN,TRARNIC  Y EPACHEL, ANTOXMOL</t>
  </si>
  <si>
    <t>MAGISTRAL(MUCSAN,TRARNIC,NUXVOM,EPACHEL,OLIGOMAX,SCROLYM</t>
  </si>
  <si>
    <t>410 TRANS/ 150 EFE</t>
  </si>
  <si>
    <t>RUBEL POMAJACA</t>
  </si>
  <si>
    <t>EMZYM COM, HAMADRON, NUXVOM</t>
  </si>
  <si>
    <t>MAGISTRAL(OLIGOMAX,TRARNIC,NUXVOM,EPACHEL, SCROLYM ,HAMADRON</t>
  </si>
  <si>
    <t xml:space="preserve">DIABETES </t>
  </si>
  <si>
    <t xml:space="preserve">EDWARD ENRIQUE SANCHEZ FARFAN </t>
  </si>
  <si>
    <t>REAGENDA EN EL MISMO HORARIO</t>
  </si>
  <si>
    <t>ARMANDO MEDINA OLAVE</t>
  </si>
  <si>
    <t>CLAUDIA COY ROJAS</t>
  </si>
  <si>
    <t>CIMIFEM, EPACHEL, EMZYM</t>
  </si>
  <si>
    <t xml:space="preserve">MAGISTRAL(HAMADRON,TRARNIC,CIMIFEM,OVAFEM,OLIGOMAX,NUXVOM </t>
  </si>
  <si>
    <t>JOSE KENNETH MARTINEZ</t>
  </si>
  <si>
    <t>sin wsp, NO CONTESTA</t>
  </si>
  <si>
    <t>NO ASISTE REPROGRAMA PRÓXIMO MARTES</t>
  </si>
  <si>
    <t>tarj</t>
  </si>
  <si>
    <t>BRYONAL</t>
  </si>
  <si>
    <t>JAIRO ROZO</t>
  </si>
  <si>
    <t xml:space="preserve">PEDRO ALEXANDER ORJUELA </t>
  </si>
  <si>
    <t>MAGISTRAL(BRYONAL, DISCOLVER, CERENEX, PULSAMEP, NUXVOM, OLIGOMAX</t>
  </si>
  <si>
    <t>MIRECOLES</t>
  </si>
  <si>
    <t>REAGENDAMIENTO</t>
  </si>
  <si>
    <t>RAMIRO OSPINA</t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</si>
  <si>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</si>
  <si>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r>
      <rPr>
        <rFont val="Calibri"/>
        <color theme="1"/>
        <sz val="10.0"/>
      </rPr>
      <t>2 DETOX / 3 OSTEOARTICULARES /</t>
    </r>
    <r>
      <rPr>
        <rFont val="Calibri"/>
        <b/>
        <color theme="1"/>
        <sz val="10.0"/>
      </rPr>
      <t>FAC ELECTRONICA</t>
    </r>
  </si>
  <si>
    <t>NURY JIMENEZ HIJA DE LA SEÑORA MAGOLA</t>
  </si>
  <si>
    <t>MAGISTRAL(hamadron,plazar,discolver,trarnic,cerenex,epachel</t>
  </si>
  <si>
    <t xml:space="preserve">DIGESTIVO Y HEPÁTICO </t>
  </si>
  <si>
    <t xml:space="preserve">JAVIER HERNAN JIMÉNEZ GARZON </t>
  </si>
  <si>
    <t>10:40AM</t>
  </si>
  <si>
    <t>11:00AM</t>
  </si>
  <si>
    <t>NUBIA GARZON</t>
  </si>
  <si>
    <t xml:space="preserve">ISABELLA/OFICINA </t>
  </si>
  <si>
    <t>WHATI</t>
  </si>
  <si>
    <t xml:space="preserve">VALIDAR SI ASISTE NO CONTESTA </t>
  </si>
  <si>
    <t>PD</t>
  </si>
  <si>
    <t>CRISTIAN ENRIQUE RODRÍGUEZ</t>
  </si>
  <si>
    <t>1.092.156.362</t>
  </si>
  <si>
    <t>SON ESPOSOS</t>
  </si>
  <si>
    <t>01:00PM</t>
  </si>
  <si>
    <t>FLOR ÁLVAREZ</t>
  </si>
  <si>
    <t>1.007.680.112</t>
  </si>
  <si>
    <t>PENDIENTE PARA PAGO VAN A CANCELAR LAS DOS CONSULTAS</t>
  </si>
  <si>
    <t>01:30 PM</t>
  </si>
  <si>
    <t xml:space="preserve">TENERLE TRARNIC Y PASED EN COMPRIMIDOS </t>
  </si>
  <si>
    <t>JOSE DAVID ABELLA GOMEZ</t>
  </si>
  <si>
    <t>REPROGRAMAR</t>
  </si>
  <si>
    <t>FABIO MATEUS</t>
  </si>
  <si>
    <t>RICHAR CATELLANOS ARIZA</t>
  </si>
  <si>
    <t>ALLISSON</t>
  </si>
  <si>
    <t>ÍTALO ALFONSO CASTELLANOS</t>
  </si>
  <si>
    <t>LUZ MIRIAM QUINTERO MOLINA</t>
  </si>
  <si>
    <t>ESPACIO APARTADO</t>
  </si>
  <si>
    <t>LUIS ARTURO BARBOSA</t>
  </si>
  <si>
    <t>MARIA EUGENIA ROJAS</t>
  </si>
  <si>
    <t>EN CASO DE QUE LE ENVIEN SUEROS SE LE DIO LA PROMO DE 550</t>
  </si>
  <si>
    <t>CLAUDIA NORELLY MORENO CASTRO</t>
  </si>
  <si>
    <t>DCTO 15%</t>
  </si>
  <si>
    <t>FRANCIA ELENA CASTELLAR</t>
  </si>
  <si>
    <t>CARLOS JULIO FAJARDO</t>
  </si>
  <si>
    <t>SUERO OSTEARTICULAR</t>
  </si>
  <si>
    <t>RUBY YOLANDA OSORIO CASTRO</t>
  </si>
  <si>
    <t>CANCELA EL TRATAMIENTO EL 31 DE ENERO</t>
  </si>
  <si>
    <t>TRATAMIENTO</t>
  </si>
  <si>
    <t>Descuentos</t>
  </si>
  <si>
    <t>SIN DESCUENTO</t>
  </si>
  <si>
    <t>LIMPIEZA FACIAL+BIOPLASMA</t>
  </si>
  <si>
    <t>ANALIZADOR CUANTICO</t>
  </si>
  <si>
    <t>CONSULTA MEDICA ESPECIALIZADA</t>
  </si>
  <si>
    <t>DETOX IONICO INDIVIDUAL</t>
  </si>
  <si>
    <t>DETOX PAQUETE 4 SESIONES</t>
  </si>
  <si>
    <t>SUERO</t>
  </si>
  <si>
    <t>DETOX</t>
  </si>
  <si>
    <t>MEGA DOSIS VITAMINA C</t>
  </si>
  <si>
    <t>CARDIOVASCULAR</t>
  </si>
  <si>
    <t>TIROIDES</t>
  </si>
  <si>
    <t>ANTIENVEJECIMIENTO</t>
  </si>
  <si>
    <t>DETOX AVANZADO</t>
  </si>
  <si>
    <t>OSTEOARTICULAR</t>
  </si>
  <si>
    <t>DIGESTIVO Y HEPATICO</t>
  </si>
  <si>
    <t>VIAS URINARIAS</t>
  </si>
  <si>
    <t>SISTEMA NERVIOSO - ANSIEDAD</t>
  </si>
  <si>
    <t>INMUNOREGULADOR</t>
  </si>
  <si>
    <t>PIEL</t>
  </si>
  <si>
    <t>SISTEMA RESPIRATORIO</t>
  </si>
  <si>
    <t>POTENCIALIZADOR MASCULINO</t>
  </si>
  <si>
    <t>OBESIDAD</t>
  </si>
  <si>
    <t>REVITALIZANTE HOMBRE-MUJER</t>
  </si>
  <si>
    <t>ACIDO URICO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</si>
</sst>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d/M/yyyy"/>
    <numFmt numFmtId="166" formatCode="&quot;$&quot;\ #,##0;[Red]\-&quot;$&quot;\ #,##0"/>
    <numFmt numFmtId="167" formatCode="dd/mm/yyyy"/>
    <numFmt numFmtId="168" formatCode="[$$]#,##0"/>
    <numFmt numFmtId="169" formatCode="[$ $]#,##0"/>
    <numFmt numFmtId="170" formatCode="&quot;$&quot;#,##0.000"/>
    <numFmt numFmtId="171" formatCode="h:mm:ss am/pm"/>
    <numFmt numFmtId="172" formatCode="&quot;$&quot;\ #,##0.000;[Red]\-&quot;$&quot;\ #,##0.000"/>
    <numFmt numFmtId="173" formatCode="&quot;$&quot;\ #,##0.00;[Red]\-&quot;$&quot;\ #,##0.00"/>
  </numFmts>
  <fonts count="13">
    <font>
      <sz val="11.0"/>
      <color theme="1"/>
      <name val="Calibri"/>
      <scheme val="minor"/>
    </font>
    <font>
      <sz val="10.0"/>
      <color theme="1"/>
      <name val="Calibri"/>
    </font>
    <font>
      <color theme="1"/>
      <name val="Calibri"/>
      <scheme val="minor"/>
    </font>
    <font>
      <b/>
      <sz val="10.0"/>
      <color theme="1"/>
      <name val="Calibri"/>
    </font>
    <font>
      <color theme="1"/>
      <name val="Calibri"/>
    </font>
    <font>
      <sz val="11.0"/>
      <color theme="1"/>
      <name val="Calibri"/>
    </font>
    <font>
      <sz val="10.0"/>
      <color rgb="FF000000"/>
      <name val="Calibri"/>
    </font>
    <font>
      <sz val="11.0"/>
      <color rgb="FF000000"/>
      <name val="Roboto"/>
    </font>
    <font>
      <b/>
      <sz val="12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A9D08E"/>
        <bgColor rgb="FFA9D08E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right"/>
    </xf>
    <xf borderId="0" fillId="0" fontId="1" numFmtId="0" xfId="0" applyFont="1"/>
    <xf borderId="1" fillId="3" fontId="1" numFmtId="0" xfId="0" applyBorder="1" applyFill="1" applyFont="1"/>
    <xf borderId="1" fillId="0" fontId="1" numFmtId="164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/>
    </xf>
    <xf borderId="1" fillId="2" fontId="1" numFmtId="164" xfId="0" applyAlignment="1" applyBorder="1" applyFont="1" applyNumberFormat="1">
      <alignment horizontal="center" readingOrder="0"/>
    </xf>
    <xf borderId="1" fillId="4" fontId="1" numFmtId="0" xfId="0" applyBorder="1" applyFill="1" applyFont="1"/>
    <xf borderId="1" fillId="4" fontId="1" numFmtId="165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right" readingOrder="0"/>
    </xf>
    <xf borderId="1" fillId="5" fontId="1" numFmtId="0" xfId="0" applyBorder="1" applyFill="1" applyFont="1"/>
    <xf borderId="1" fillId="5" fontId="1" numFmtId="165" xfId="0" applyAlignment="1" applyBorder="1" applyFont="1" applyNumberFormat="1">
      <alignment horizontal="center"/>
    </xf>
    <xf borderId="1" fillId="5" fontId="1" numFmtId="0" xfId="0" applyAlignment="1" applyBorder="1" applyFont="1">
      <alignment horizontal="left"/>
    </xf>
    <xf borderId="1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right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left"/>
    </xf>
    <xf borderId="1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right"/>
    </xf>
    <xf borderId="0" fillId="0" fontId="2" numFmtId="164" xfId="0" applyAlignment="1" applyFont="1" applyNumberFormat="1">
      <alignment horizontal="center"/>
    </xf>
    <xf borderId="1" fillId="6" fontId="1" numFmtId="164" xfId="0" applyAlignment="1" applyBorder="1" applyFill="1" applyFont="1" applyNumberFormat="1">
      <alignment horizontal="center"/>
    </xf>
    <xf borderId="1" fillId="4" fontId="3" numFmtId="0" xfId="0" applyBorder="1" applyFont="1"/>
    <xf borderId="1" fillId="2" fontId="1" numFmtId="164" xfId="0" applyAlignment="1" applyBorder="1" applyFont="1" applyNumberFormat="1">
      <alignment horizontal="center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165" xfId="0" applyAlignment="1" applyBorder="1" applyFont="1" applyNumberFormat="1">
      <alignment horizontal="center" shrinkToFit="0" vertical="bottom" wrapText="0"/>
    </xf>
    <xf borderId="1" fillId="4" fontId="1" numFmtId="49" xfId="0" applyAlignment="1" applyBorder="1" applyFont="1" applyNumberFormat="1">
      <alignment horizontal="left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right" shrinkToFit="0" vertical="bottom" wrapText="0"/>
    </xf>
    <xf borderId="1" fillId="4" fontId="1" numFmtId="0" xfId="0" applyAlignment="1" applyBorder="1" applyFont="1">
      <alignment vertical="bottom"/>
    </xf>
    <xf borderId="1" fillId="4" fontId="1" numFmtId="1" xfId="0" applyAlignment="1" applyBorder="1" applyFont="1" applyNumberFormat="1">
      <alignment horizontal="center" readingOrder="0" vertical="bottom"/>
    </xf>
    <xf borderId="2" fillId="4" fontId="1" numFmtId="0" xfId="0" applyAlignment="1" applyBorder="1" applyFont="1">
      <alignment readingOrder="0" shrinkToFit="0" vertical="bottom" wrapText="0"/>
    </xf>
    <xf borderId="1" fillId="6" fontId="1" numFmtId="164" xfId="0" applyAlignment="1" applyBorder="1" applyFont="1" applyNumberFormat="1">
      <alignment horizontal="center"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5" fontId="1" numFmtId="165" xfId="0" applyAlignment="1" applyBorder="1" applyFont="1" applyNumberFormat="1">
      <alignment horizontal="center" shrinkToFit="0" vertical="bottom" wrapText="0"/>
    </xf>
    <xf borderId="1" fillId="5" fontId="1" numFmtId="0" xfId="0" applyAlignment="1" applyBorder="1" applyFont="1">
      <alignment horizontal="left"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2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right" shrinkToFit="0" vertical="bottom" wrapText="0"/>
    </xf>
    <xf borderId="1" fillId="5" fontId="1" numFmtId="0" xfId="0" applyAlignment="1" applyBorder="1" applyFont="1">
      <alignment readingOrder="0" shrinkToFit="0" vertical="bottom" wrapText="0"/>
    </xf>
    <xf borderId="3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readingOrder="0" shrinkToFit="0" vertical="bottom" wrapText="0"/>
    </xf>
    <xf borderId="3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vertical="bottom"/>
    </xf>
    <xf borderId="1" fillId="4" fontId="1" numFmtId="0" xfId="0" applyAlignment="1" applyBorder="1" applyFont="1">
      <alignment horizontal="left" shrinkToFit="0" vertical="bottom" wrapText="0"/>
    </xf>
    <xf borderId="2" fillId="4" fontId="1" numFmtId="0" xfId="0" applyAlignment="1" applyBorder="1" applyFont="1">
      <alignment readingOrder="0"/>
    </xf>
    <xf borderId="2" fillId="4" fontId="1" numFmtId="0" xfId="0" applyAlignment="1" applyBorder="1" applyFont="1">
      <alignment shrinkToFit="0" vertical="bottom" wrapText="0"/>
    </xf>
    <xf borderId="3" fillId="4" fontId="1" numFmtId="0" xfId="0" applyAlignment="1" applyBorder="1" applyFont="1">
      <alignment horizontal="center" readingOrder="0"/>
    </xf>
    <xf borderId="1" fillId="6" fontId="4" numFmtId="164" xfId="0" applyAlignment="1" applyBorder="1" applyFont="1" applyNumberForma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vertical="bottom"/>
    </xf>
    <xf borderId="1" fillId="4" fontId="1" numFmtId="49" xfId="0" applyAlignment="1" applyBorder="1" applyFont="1" applyNumberFormat="1">
      <alignment horizontal="left" vertical="bottom"/>
    </xf>
    <xf borderId="1" fillId="4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vertical="bottom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horizontal="right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3" fillId="4" fontId="1" numFmtId="0" xfId="0" applyAlignment="1" applyBorder="1" applyFont="1">
      <alignment shrinkToFit="0" vertical="bottom" wrapText="0"/>
    </xf>
    <xf borderId="3" fillId="4" fontId="1" numFmtId="0" xfId="0" applyAlignment="1" applyBorder="1" applyFont="1">
      <alignment readingOrder="0"/>
    </xf>
    <xf borderId="1" fillId="5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right" readingOrder="0"/>
    </xf>
    <xf borderId="0" fillId="6" fontId="1" numFmtId="0" xfId="0" applyFont="1"/>
    <xf borderId="1" fillId="6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horizontal="right" shrinkToFit="0" vertical="bottom" wrapText="0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4" fontId="1" numFmtId="165" xfId="0" applyAlignment="1" applyBorder="1" applyFont="1" applyNumberFormat="1">
      <alignment horizontal="center" readingOrder="0"/>
    </xf>
    <xf borderId="1" fillId="2" fontId="1" numFmtId="166" xfId="0" applyAlignment="1" applyBorder="1" applyFont="1" applyNumberFormat="1">
      <alignment horizontal="center" shrinkToFit="0" vertical="bottom" wrapText="0"/>
    </xf>
    <xf borderId="1" fillId="4" fontId="1" numFmtId="0" xfId="0" applyAlignment="1" applyBorder="1" applyFont="1">
      <alignment horizontal="left" readingOrder="0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2" fontId="1" numFmtId="166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right" readingOrder="0" shrinkToFit="0" vertical="bottom" wrapText="0"/>
    </xf>
    <xf borderId="3" fillId="4" fontId="1" numFmtId="1" xfId="0" applyAlignment="1" applyBorder="1" applyFont="1" applyNumberFormat="1">
      <alignment horizontal="center" readingOrder="0" vertical="bottom"/>
    </xf>
    <xf borderId="1" fillId="6" fontId="1" numFmtId="49" xfId="0" applyAlignment="1" applyBorder="1" applyFont="1" applyNumberFormat="1">
      <alignment horizontal="left" readingOrder="0" shrinkToFit="0" vertical="bottom" wrapText="0"/>
    </xf>
    <xf borderId="2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ont="1">
      <alignment horizontal="right" shrinkToFit="0" vertical="bottom" wrapText="0"/>
    </xf>
    <xf borderId="1" fillId="6" fontId="1" numFmtId="0" xfId="0" applyAlignment="1" applyBorder="1" applyFont="1">
      <alignment vertical="bottom"/>
    </xf>
    <xf borderId="3" fillId="6" fontId="1" numFmtId="1" xfId="0" applyAlignment="1" applyBorder="1" applyFont="1" applyNumberFormat="1">
      <alignment horizontal="center" readingOrder="0" vertical="bottom"/>
    </xf>
    <xf borderId="1" fillId="6" fontId="1" numFmtId="1" xfId="0" applyAlignment="1" applyBorder="1" applyFont="1" applyNumberFormat="1">
      <alignment horizontal="center" readingOrder="0" vertical="bottom"/>
    </xf>
    <xf borderId="1" fillId="4" fontId="1" numFmtId="49" xfId="0" applyAlignment="1" applyBorder="1" applyFont="1" applyNumberFormat="1">
      <alignment horizontal="left" readingOrder="0" shrinkToFit="0" vertical="bottom" wrapText="0"/>
    </xf>
    <xf borderId="1" fillId="4" fontId="1" numFmtId="1" xfId="0" applyAlignment="1" applyBorder="1" applyFont="1" applyNumberForma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46" xfId="0" applyAlignment="1" applyBorder="1" applyFont="1" applyNumberFormat="1">
      <alignment horizontal="left" readingOrder="0"/>
    </xf>
    <xf borderId="2" fillId="6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center"/>
    </xf>
    <xf borderId="1" fillId="4" fontId="1" numFmtId="167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shrinkToFit="0" wrapText="1"/>
    </xf>
    <xf borderId="1" fillId="5" fontId="1" numFmtId="167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readingOrder="0"/>
    </xf>
    <xf borderId="1" fillId="4" fontId="1" numFmtId="0" xfId="0" applyAlignment="1" applyBorder="1" applyFont="1">
      <alignment readingOrder="0" shrinkToFit="0" wrapText="1"/>
    </xf>
    <xf borderId="1" fillId="4" fontId="1" numFmtId="0" xfId="0" applyAlignment="1" applyBorder="1" applyFont="1">
      <alignment horizontal="center" shrinkToFit="0" vertical="bottom" wrapText="0"/>
    </xf>
    <xf borderId="0" fillId="0" fontId="1" numFmtId="14" xfId="0" applyAlignment="1" applyFont="1" applyNumberFormat="1">
      <alignment vertical="bottom"/>
    </xf>
    <xf borderId="1" fillId="4" fontId="4" numFmtId="0" xfId="0" applyAlignment="1" applyBorder="1" applyFont="1">
      <alignment horizontal="center" shrinkToFit="0" vertical="bottom" wrapText="0"/>
    </xf>
    <xf borderId="1" fillId="4" fontId="5" numFmtId="0" xfId="0" applyAlignment="1" applyBorder="1" applyFont="1">
      <alignment vertical="bottom"/>
    </xf>
    <xf borderId="1" fillId="6" fontId="5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readingOrder="0"/>
    </xf>
    <xf borderId="1" fillId="6" fontId="1" numFmtId="165" xfId="0" applyAlignment="1" applyBorder="1" applyFont="1" applyNumberFormat="1">
      <alignment horizontal="center" readingOrder="0"/>
    </xf>
    <xf borderId="1" fillId="6" fontId="1" numFmtId="46" xfId="0" applyAlignment="1" applyBorder="1" applyFont="1" applyNumberFormat="1">
      <alignment horizontal="left" readingOrder="0"/>
    </xf>
    <xf borderId="1" fillId="6" fontId="1" numFmtId="0" xfId="0" applyBorder="1" applyFont="1"/>
    <xf borderId="1" fillId="6" fontId="1" numFmtId="0" xfId="0" applyAlignment="1" applyBorder="1" applyFont="1">
      <alignment horizontal="right" readingOrder="0"/>
    </xf>
    <xf borderId="1" fillId="2" fontId="4" numFmtId="168" xfId="0" applyAlignment="1" applyBorder="1" applyFont="1" applyNumberFormat="1">
      <alignment horizontal="center" vertical="bottom"/>
    </xf>
    <xf borderId="1" fillId="4" fontId="4" numFmtId="49" xfId="0" applyAlignment="1" applyBorder="1" applyFont="1" applyNumberFormat="1">
      <alignment horizontal="left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right" vertical="bottom"/>
    </xf>
    <xf borderId="1" fillId="4" fontId="4" numFmtId="1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1" fillId="5" fontId="1" numFmtId="165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vertical="bottom"/>
    </xf>
    <xf borderId="1" fillId="5" fontId="1" numFmtId="49" xfId="0" applyAlignment="1" applyBorder="1" applyFont="1" applyNumberFormat="1">
      <alignment horizontal="left" shrinkToFit="0" vertical="bottom" wrapText="0"/>
    </xf>
    <xf borderId="1" fillId="6" fontId="1" numFmtId="169" xfId="0" applyAlignment="1" applyBorder="1" applyFont="1" applyNumberFormat="1">
      <alignment vertical="bottom"/>
    </xf>
    <xf borderId="1" fillId="4" fontId="1" numFmtId="1" xfId="0" applyAlignment="1" applyBorder="1" applyFont="1" applyNumberFormat="1">
      <alignment horizontal="center" shrinkToFit="0" vertical="bottom" wrapText="0"/>
    </xf>
    <xf borderId="1" fillId="4" fontId="3" numFmtId="0" xfId="0" applyAlignment="1" applyBorder="1" applyFont="1">
      <alignment readingOrder="0"/>
    </xf>
    <xf borderId="2" fillId="6" fontId="1" numFmtId="166" xfId="0" applyAlignment="1" applyBorder="1" applyFont="1" applyNumberFormat="1">
      <alignment horizontal="center" shrinkToFit="0" vertical="bottom" wrapText="0"/>
    </xf>
    <xf borderId="2" fillId="5" fontId="1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2" fillId="5" fontId="1" numFmtId="0" xfId="0" applyAlignment="1" applyBorder="1" applyFont="1">
      <alignment horizontal="right" shrinkToFit="0" vertical="bottom" wrapText="0"/>
    </xf>
    <xf borderId="2" fillId="5" fontId="4" numFmtId="0" xfId="0" applyAlignment="1" applyBorder="1" applyFont="1">
      <alignment shrinkToFit="0" vertical="bottom" wrapText="0"/>
    </xf>
    <xf borderId="2" fillId="5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vertical="bottom"/>
    </xf>
    <xf borderId="0" fillId="6" fontId="5" numFmtId="0" xfId="0" applyAlignment="1" applyFont="1">
      <alignment vertical="bottom"/>
    </xf>
    <xf borderId="0" fillId="6" fontId="4" numFmtId="14" xfId="0" applyAlignment="1" applyFont="1" applyNumberFormat="1">
      <alignment horizontal="right" shrinkToFit="0" vertical="bottom" wrapText="0"/>
    </xf>
    <xf borderId="0" fillId="6" fontId="4" numFmtId="0" xfId="0" applyAlignment="1" applyFont="1">
      <alignment shrinkToFit="0" vertical="bottom" wrapText="0"/>
    </xf>
    <xf borderId="2" fillId="0" fontId="1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2" fontId="1" numFmtId="164" xfId="0" applyAlignment="1" applyBorder="1" applyFont="1" applyNumberFormat="1">
      <alignment horizontal="center" readingOrder="0"/>
    </xf>
    <xf borderId="2" fillId="4" fontId="1" numFmtId="0" xfId="0" applyAlignment="1" applyBorder="1" applyFont="1">
      <alignment horizontal="left" readingOrder="0"/>
    </xf>
    <xf borderId="2" fillId="4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right" readingOrder="0"/>
    </xf>
    <xf borderId="2" fillId="4" fontId="1" numFmtId="0" xfId="0" applyAlignment="1" applyBorder="1" applyFont="1">
      <alignment horizontal="center" readingOrder="0" vertical="bottom"/>
    </xf>
    <xf borderId="2" fillId="4" fontId="1" numFmtId="0" xfId="0" applyBorder="1" applyFont="1"/>
    <xf borderId="1" fillId="2" fontId="1" numFmtId="164" xfId="0" applyAlignment="1" applyBorder="1" applyFont="1" applyNumberFormat="1">
      <alignment horizontal="center" readingOrder="0" vertical="bottom"/>
    </xf>
    <xf borderId="1" fillId="4" fontId="1" numFmtId="49" xfId="0" applyAlignment="1" applyBorder="1" applyFont="1" applyNumberFormat="1">
      <alignment horizontal="left" readingOrder="0" vertical="bottom"/>
    </xf>
    <xf borderId="2" fillId="7" fontId="1" numFmtId="0" xfId="0" applyAlignment="1" applyBorder="1" applyFill="1" applyFont="1">
      <alignment readingOrder="0"/>
    </xf>
    <xf borderId="2" fillId="7" fontId="1" numFmtId="0" xfId="0" applyBorder="1" applyFont="1"/>
    <xf borderId="1" fillId="4" fontId="1" numFmtId="0" xfId="0" applyAlignment="1" applyBorder="1" applyFont="1">
      <alignment horizontal="left" readingOrder="0" vertical="bottom"/>
    </xf>
    <xf borderId="0" fillId="6" fontId="1" numFmtId="0" xfId="0" applyAlignment="1" applyFont="1">
      <alignment vertical="bottom"/>
    </xf>
    <xf borderId="2" fillId="5" fontId="1" numFmtId="0" xfId="0" applyAlignment="1" applyBorder="1" applyFont="1">
      <alignment horizontal="left" shrinkToFit="0" vertical="bottom" wrapText="0"/>
    </xf>
    <xf borderId="2" fillId="0" fontId="1" numFmtId="164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horizontal="left" readingOrder="0"/>
    </xf>
    <xf borderId="0" fillId="5" fontId="6" numFmtId="0" xfId="0" applyAlignment="1" applyFont="1">
      <alignment readingOrder="0"/>
    </xf>
    <xf borderId="1" fillId="5" fontId="6" numFmtId="0" xfId="0" applyAlignment="1" applyBorder="1" applyFont="1">
      <alignment readingOrder="0"/>
    </xf>
    <xf borderId="2" fillId="2" fontId="1" numFmtId="164" xfId="0" applyAlignment="1" applyBorder="1" applyFont="1" applyNumberFormat="1">
      <alignment horizontal="center" vertical="bottom"/>
    </xf>
    <xf borderId="2" fillId="4" fontId="1" numFmtId="0" xfId="0" applyAlignment="1" applyBorder="1" applyFont="1">
      <alignment vertical="bottom"/>
    </xf>
    <xf borderId="2" fillId="4" fontId="1" numFmtId="0" xfId="0" applyAlignment="1" applyBorder="1" applyFont="1">
      <alignment horizontal="left" vertical="bottom"/>
    </xf>
    <xf borderId="2" fillId="4" fontId="6" numFmtId="0" xfId="0" applyAlignment="1" applyBorder="1" applyFont="1">
      <alignment vertical="bottom"/>
    </xf>
    <xf borderId="2" fillId="4" fontId="1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right" vertical="bottom"/>
    </xf>
    <xf borderId="2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shrinkToFit="0" vertical="bottom" wrapText="1"/>
    </xf>
    <xf borderId="2" fillId="2" fontId="1" numFmtId="166" xfId="0" applyAlignment="1" applyBorder="1" applyFont="1" applyNumberFormat="1">
      <alignment horizontal="center" readingOrder="0" shrinkToFit="0" vertical="bottom" wrapText="0"/>
    </xf>
    <xf borderId="1" fillId="6" fontId="1" numFmtId="164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2" fillId="4" fontId="5" numFmtId="0" xfId="0" applyAlignment="1" applyBorder="1" applyFont="1">
      <alignment horizontal="center" readingOrder="0" vertical="bottom"/>
    </xf>
    <xf borderId="2" fillId="2" fontId="1" numFmtId="166" xfId="0" applyAlignment="1" applyBorder="1" applyFont="1" applyNumberFormat="1">
      <alignment horizontal="center" shrinkToFit="0" vertical="bottom" wrapText="0"/>
    </xf>
    <xf borderId="2" fillId="5" fontId="1" numFmtId="166" xfId="0" applyAlignment="1" applyBorder="1" applyFont="1" applyNumberFormat="1">
      <alignment horizontal="center" shrinkToFit="0" vertical="bottom" wrapText="0"/>
    </xf>
    <xf borderId="3" fillId="5" fontId="1" numFmtId="0" xfId="0" applyAlignment="1" applyBorder="1" applyFont="1">
      <alignment readingOrder="0"/>
    </xf>
    <xf borderId="3" fillId="0" fontId="1" numFmtId="0" xfId="0" applyBorder="1" applyFont="1"/>
    <xf borderId="2" fillId="4" fontId="1" numFmtId="0" xfId="0" applyAlignment="1" applyBorder="1" applyFont="1">
      <alignment horizontal="left" readingOrder="0" shrinkToFit="0" vertical="bottom" wrapText="0"/>
    </xf>
    <xf borderId="3" fillId="4" fontId="1" numFmtId="0" xfId="0" applyAlignment="1" applyBorder="1" applyFont="1">
      <alignment horizontal="center" vertical="bottom"/>
    </xf>
    <xf borderId="1" fillId="6" fontId="1" numFmtId="164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left" readingOrder="0" shrinkToFit="0" vertical="bottom" wrapText="0"/>
    </xf>
    <xf borderId="2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right" vertical="bottom"/>
    </xf>
    <xf borderId="3" fillId="5" fontId="1" numFmtId="0" xfId="0" applyAlignment="1" applyBorder="1" applyFont="1">
      <alignment horizontal="left" readingOrder="0" vertical="bottom"/>
    </xf>
    <xf borderId="1" fillId="5" fontId="1" numFmtId="0" xfId="0" applyAlignment="1" applyBorder="1" applyFont="1">
      <alignment horizontal="center" vertical="bottom"/>
    </xf>
    <xf borderId="2" fillId="5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vertical="bottom"/>
    </xf>
    <xf borderId="1" fillId="4" fontId="1" numFmtId="165" xfId="0" applyAlignment="1" applyBorder="1" applyFont="1" applyNumberFormat="1">
      <alignment horizontal="center" vertical="bottom"/>
    </xf>
    <xf borderId="1" fillId="4" fontId="1" numFmtId="49" xfId="0" applyAlignment="1" applyBorder="1" applyFont="1" applyNumberFormat="1">
      <alignment readingOrder="0" shrinkToFit="0" vertical="bottom" wrapText="0"/>
    </xf>
    <xf borderId="1" fillId="4" fontId="1" numFmtId="1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left" readingOrder="0"/>
    </xf>
    <xf borderId="1" fillId="6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right"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1" fillId="6" fontId="1" numFmtId="0" xfId="0" applyAlignment="1" applyBorder="1" applyFont="1">
      <alignment readingOrder="0" vertical="bottom"/>
    </xf>
    <xf borderId="1" fillId="6" fontId="3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left"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right" shrinkToFit="0" vertical="bottom" wrapText="0"/>
    </xf>
    <xf borderId="1" fillId="6" fontId="1" numFmtId="49" xfId="0" applyAlignment="1" applyBorder="1" applyFont="1" applyNumberFormat="1">
      <alignment horizontal="left" shrinkToFit="0" vertical="bottom" wrapText="0"/>
    </xf>
    <xf borderId="1" fillId="6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readingOrder="0" shrinkToFit="0" wrapText="1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right"/>
    </xf>
    <xf borderId="1" fillId="6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2" fillId="6" fontId="1" numFmtId="0" xfId="0" applyAlignment="1" applyBorder="1" applyFont="1">
      <alignment readingOrder="0"/>
    </xf>
    <xf borderId="3" fillId="6" fontId="1" numFmtId="0" xfId="0" applyAlignment="1" applyBorder="1" applyFont="1">
      <alignment readingOrder="0"/>
    </xf>
    <xf borderId="3" fillId="6" fontId="1" numFmtId="0" xfId="0" applyAlignment="1" applyBorder="1" applyFont="1">
      <alignment horizontal="center" readingOrder="0"/>
    </xf>
    <xf borderId="1" fillId="6" fontId="1" numFmtId="167" xfId="0" applyAlignment="1" applyBorder="1" applyFont="1" applyNumberFormat="1">
      <alignment horizontal="center" readingOrder="0"/>
    </xf>
    <xf borderId="0" fillId="6" fontId="7" numFmtId="0" xfId="0" applyAlignment="1" applyFont="1">
      <alignment readingOrder="0"/>
    </xf>
    <xf borderId="1" fillId="6" fontId="1" numFmtId="0" xfId="0" applyAlignment="1" applyBorder="1" applyFont="1">
      <alignment shrinkToFit="0" wrapText="1"/>
    </xf>
    <xf borderId="1" fillId="6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readingOrder="0"/>
    </xf>
    <xf borderId="1" fillId="8" fontId="4" numFmtId="164" xfId="0" applyAlignment="1" applyBorder="1" applyFill="1" applyFont="1" applyNumberFormat="1">
      <alignment horizontal="center" vertical="bottom"/>
    </xf>
    <xf borderId="1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right" vertical="bottom"/>
    </xf>
    <xf borderId="1" fillId="8" fontId="4" numFmtId="0" xfId="0" applyAlignment="1" applyBorder="1" applyFont="1">
      <alignment shrinkToFit="0" vertical="bottom" wrapText="1"/>
    </xf>
    <xf borderId="1" fillId="8" fontId="4" numFmtId="0" xfId="0" applyAlignment="1" applyBorder="1" applyFont="1">
      <alignment horizontal="center" shrinkToFit="0" vertical="bottom" wrapText="1"/>
    </xf>
    <xf borderId="1" fillId="8" fontId="5" numFmtId="0" xfId="0" applyAlignment="1" applyBorder="1" applyFont="1">
      <alignment vertical="bottom"/>
    </xf>
    <xf borderId="1" fillId="8" fontId="4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readingOrder="0"/>
    </xf>
    <xf borderId="2" fillId="6" fontId="1" numFmtId="0" xfId="0" applyAlignment="1" applyBorder="1" applyFont="1">
      <alignment horizontal="left" shrinkToFit="0" vertical="bottom" wrapText="0"/>
    </xf>
    <xf borderId="2" fillId="6" fontId="4" numFmtId="0" xfId="0" applyAlignment="1" applyBorder="1" applyFont="1">
      <alignment horizontal="center" shrinkToFit="0" vertical="bottom" wrapText="0"/>
    </xf>
    <xf borderId="2" fillId="6" fontId="1" numFmtId="0" xfId="0" applyAlignment="1" applyBorder="1" applyFont="1">
      <alignment horizontal="right" shrinkToFit="0" vertical="bottom" wrapText="0"/>
    </xf>
    <xf borderId="2" fillId="6" fontId="4" numFmtId="0" xfId="0" applyAlignment="1" applyBorder="1" applyFont="1">
      <alignment shrinkToFit="0" vertical="bottom" wrapText="0"/>
    </xf>
    <xf borderId="2" fillId="6" fontId="5" numFmtId="1" xfId="0" applyAlignment="1" applyBorder="1" applyFont="1" applyNumberFormat="1">
      <alignment vertical="bottom"/>
    </xf>
    <xf borderId="2" fillId="6" fontId="5" numFmtId="0" xfId="0" applyAlignment="1" applyBorder="1" applyFont="1">
      <alignment horizontal="center" vertical="bottom"/>
    </xf>
    <xf borderId="2" fillId="6" fontId="5" numFmtId="0" xfId="0" applyAlignment="1" applyBorder="1" applyFont="1">
      <alignment vertical="bottom"/>
    </xf>
    <xf borderId="0" fillId="0" fontId="4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2" fillId="6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left" readingOrder="0"/>
    </xf>
    <xf borderId="1" fillId="6" fontId="1" numFmtId="1" xfId="0" applyAlignment="1" applyBorder="1" applyFont="1" applyNumberFormat="1">
      <alignment horizontal="center" shrinkToFit="0" vertical="bottom" wrapText="0"/>
    </xf>
    <xf borderId="2" fillId="6" fontId="1" numFmtId="0" xfId="0" applyAlignment="1" applyBorder="1" applyFont="1">
      <alignment vertical="bottom"/>
    </xf>
    <xf borderId="2" fillId="6" fontId="1" numFmtId="0" xfId="0" applyAlignment="1" applyBorder="1" applyFont="1">
      <alignment horizontal="left" readingOrder="0" vertical="bottom"/>
    </xf>
    <xf borderId="2" fillId="6" fontId="6" numFmtId="0" xfId="0" applyAlignment="1" applyBorder="1" applyFont="1">
      <alignment vertical="bottom"/>
    </xf>
    <xf borderId="2" fillId="6" fontId="1" numFmtId="0" xfId="0" applyAlignment="1" applyBorder="1" applyFont="1">
      <alignment horizontal="center" vertical="bottom"/>
    </xf>
    <xf borderId="2" fillId="6" fontId="6" numFmtId="0" xfId="0" applyAlignment="1" applyBorder="1" applyFont="1">
      <alignment horizontal="right" vertical="bottom"/>
    </xf>
    <xf borderId="2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shrinkToFit="0" vertical="bottom" wrapText="1"/>
    </xf>
    <xf borderId="1" fillId="6" fontId="1" numFmtId="49" xfId="0" applyAlignment="1" applyBorder="1" applyFont="1" applyNumberFormat="1">
      <alignment horizontal="left" vertical="bottom"/>
    </xf>
    <xf borderId="1" fillId="6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center" readingOrder="0" vertical="bottom"/>
    </xf>
    <xf borderId="1" fillId="6" fontId="1" numFmtId="164" xfId="0" applyAlignment="1" applyBorder="1" applyFont="1" applyNumberFormat="1">
      <alignment horizontal="left"/>
    </xf>
    <xf borderId="1" fillId="9" fontId="1" numFmtId="0" xfId="0" applyAlignment="1" applyBorder="1" applyFill="1" applyFont="1">
      <alignment readingOrder="0"/>
    </xf>
    <xf borderId="1" fillId="6" fontId="1" numFmtId="49" xfId="0" applyAlignment="1" applyBorder="1" applyFont="1" applyNumberFormat="1">
      <alignment readingOrder="0"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ont="1">
      <alignment horizontal="left" readingOrder="0" shrinkToFit="0" vertical="bottom" wrapText="0"/>
    </xf>
    <xf borderId="1" fillId="6" fontId="1" numFmtId="1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left" readingOrder="0"/>
    </xf>
    <xf borderId="1" fillId="0" fontId="1" numFmtId="167" xfId="0" applyAlignment="1" applyBorder="1" applyFont="1" applyNumberFormat="1">
      <alignment horizontal="center" readingOrder="0"/>
    </xf>
    <xf borderId="1" fillId="6" fontId="1" numFmtId="164" xfId="0" applyAlignment="1" applyBorder="1" applyFont="1" applyNumberFormat="1">
      <alignment horizontal="left" readingOrder="0"/>
    </xf>
    <xf borderId="1" fillId="0" fontId="1" numFmtId="164" xfId="0" applyAlignment="1" applyBorder="1" applyFont="1" applyNumberFormat="1">
      <alignment horizontal="right" readingOrder="0"/>
    </xf>
    <xf borderId="0" fillId="6" fontId="7" numFmtId="164" xfId="0" applyAlignment="1" applyFont="1" applyNumberFormat="1">
      <alignment readingOrder="0"/>
    </xf>
    <xf borderId="2" fillId="6" fontId="1" numFmtId="0" xfId="0" applyAlignment="1" applyBorder="1" applyFont="1">
      <alignment horizontal="left" readingOrder="0" shrinkToFit="0" vertical="bottom" wrapText="0"/>
    </xf>
    <xf borderId="1" fillId="6" fontId="1" numFmtId="0" xfId="0" applyAlignment="1" applyBorder="1" applyFont="1">
      <alignment horizontal="right" readingOrder="0" vertical="bottom"/>
    </xf>
    <xf borderId="3" fillId="6" fontId="1" numFmtId="0" xfId="0" applyAlignment="1" applyBorder="1" applyFont="1">
      <alignment horizontal="center" vertical="bottom"/>
    </xf>
    <xf borderId="2" fillId="6" fontId="1" numFmtId="0" xfId="0" applyAlignment="1" applyBorder="1" applyFont="1">
      <alignment horizontal="center" readingOrder="0"/>
    </xf>
    <xf borderId="1" fillId="6" fontId="1" numFmtId="49" xfId="0" applyAlignment="1" applyBorder="1" applyFont="1" applyNumberFormat="1">
      <alignment horizontal="left" readingOrder="0" vertical="bottom"/>
    </xf>
    <xf borderId="1" fillId="6" fontId="1" numFmtId="0" xfId="0" applyAlignment="1" applyBorder="1" applyFont="1">
      <alignment horizontal="left" readingOrder="0" vertical="bottom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8" numFmtId="0" xfId="0" applyAlignment="1" applyBorder="1" applyFont="1">
      <alignment horizontal="center"/>
    </xf>
    <xf borderId="1" fillId="2" fontId="8" numFmtId="170" xfId="0" applyAlignment="1" applyBorder="1" applyFont="1" applyNumberFormat="1">
      <alignment horizontal="center"/>
    </xf>
    <xf borderId="1" fillId="2" fontId="8" numFmtId="165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10" fontId="1" numFmtId="0" xfId="0" applyAlignment="1" applyBorder="1" applyFill="1" applyFont="1">
      <alignment horizontal="center"/>
    </xf>
    <xf borderId="1" fillId="10" fontId="1" numFmtId="170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center"/>
    </xf>
    <xf borderId="1" fillId="10" fontId="1" numFmtId="0" xfId="0" applyBorder="1" applyFont="1"/>
    <xf borderId="0" fillId="10" fontId="1" numFmtId="0" xfId="0" applyAlignment="1" applyFont="1">
      <alignment horizontal="center"/>
    </xf>
    <xf borderId="0" fillId="10" fontId="1" numFmtId="14" xfId="0" applyAlignment="1" applyFont="1" applyNumberFormat="1">
      <alignment horizontal="center"/>
    </xf>
    <xf borderId="4" fillId="10" fontId="1" numFmtId="0" xfId="0" applyBorder="1" applyFont="1"/>
    <xf borderId="5" fillId="10" fontId="1" numFmtId="0" xfId="0" applyBorder="1" applyFont="1"/>
    <xf borderId="0" fillId="10" fontId="1" numFmtId="0" xfId="0" applyFont="1"/>
    <xf borderId="1" fillId="7" fontId="1" numFmtId="0" xfId="0" applyAlignment="1" applyBorder="1" applyFont="1">
      <alignment horizontal="center"/>
    </xf>
    <xf borderId="1" fillId="7" fontId="1" numFmtId="165" xfId="0" applyAlignment="1" applyBorder="1" applyFont="1" applyNumberFormat="1">
      <alignment horizontal="center"/>
    </xf>
    <xf borderId="1" fillId="7" fontId="1" numFmtId="18" xfId="0" applyAlignment="1" applyBorder="1" applyFont="1" applyNumberFormat="1">
      <alignment horizontal="center"/>
    </xf>
    <xf borderId="1" fillId="7" fontId="1" numFmtId="0" xfId="0" applyBorder="1" applyFont="1"/>
    <xf borderId="1" fillId="7" fontId="1" numFmtId="0" xfId="0" applyAlignment="1" applyBorder="1" applyFont="1">
      <alignment horizontal="center" readingOrder="0" shrinkToFit="0" wrapText="1"/>
    </xf>
    <xf borderId="4" fillId="7" fontId="1" numFmtId="0" xfId="0" applyBorder="1" applyFont="1"/>
    <xf borderId="1" fillId="7" fontId="1" numFmtId="0" xfId="0" applyAlignment="1" applyBorder="1" applyFont="1">
      <alignment shrinkToFit="0" wrapText="1"/>
    </xf>
    <xf borderId="1" fillId="0" fontId="1" numFmtId="170" xfId="0" applyAlignment="1" applyBorder="1" applyFont="1" applyNumberFormat="1">
      <alignment horizontal="center"/>
    </xf>
    <xf borderId="1" fillId="11" fontId="1" numFmtId="0" xfId="0" applyAlignment="1" applyBorder="1" applyFill="1" applyFont="1">
      <alignment horizontal="center"/>
    </xf>
    <xf borderId="1" fillId="11" fontId="1" numFmtId="165" xfId="0" applyAlignment="1" applyBorder="1" applyFont="1" applyNumberFormat="1">
      <alignment horizontal="center"/>
    </xf>
    <xf borderId="1" fillId="11" fontId="1" numFmtId="18" xfId="0" applyAlignment="1" applyBorder="1" applyFont="1" applyNumberFormat="1">
      <alignment horizontal="center"/>
    </xf>
    <xf borderId="1" fillId="11" fontId="1" numFmtId="0" xfId="0" applyBorder="1" applyFont="1"/>
    <xf borderId="1" fillId="11" fontId="1" numFmtId="0" xfId="0" applyAlignment="1" applyBorder="1" applyFont="1">
      <alignment shrinkToFit="0" wrapText="1"/>
    </xf>
    <xf borderId="1" fillId="11" fontId="1" numFmtId="0" xfId="0" applyAlignment="1" applyBorder="1" applyFont="1">
      <alignment horizontal="center" readingOrder="0" shrinkToFit="0" wrapText="1"/>
    </xf>
    <xf borderId="1" fillId="12" fontId="1" numFmtId="164" xfId="0" applyAlignment="1" applyBorder="1" applyFill="1" applyFont="1" applyNumberFormat="1">
      <alignment horizontal="center" readingOrder="0"/>
    </xf>
    <xf borderId="1" fillId="11" fontId="1" numFmtId="0" xfId="0" applyAlignment="1" applyBorder="1" applyFont="1">
      <alignment readingOrder="0"/>
    </xf>
    <xf borderId="1" fillId="11" fontId="1" numFmtId="0" xfId="0" applyAlignment="1" applyBorder="1" applyFont="1">
      <alignment readingOrder="0" shrinkToFit="0" wrapText="1"/>
    </xf>
    <xf borderId="1" fillId="11" fontId="1" numFmtId="0" xfId="0" applyAlignment="1" applyBorder="1" applyFont="1">
      <alignment horizontal="center" shrinkToFit="0" wrapText="1"/>
    </xf>
    <xf borderId="1" fillId="7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1" fillId="6" fontId="5" numFmtId="164" xfId="0" applyAlignment="1" applyBorder="1" applyFont="1" applyNumberFormat="1">
      <alignment vertical="bottom"/>
    </xf>
    <xf borderId="1" fillId="6" fontId="5" numFmtId="0" xfId="0" applyAlignment="1" applyBorder="1" applyFont="1">
      <alignment vertical="bottom"/>
    </xf>
    <xf borderId="1" fillId="6" fontId="5" numFmtId="165" xfId="0" applyAlignment="1" applyBorder="1" applyFont="1" applyNumberFormat="1">
      <alignment vertical="bottom"/>
    </xf>
    <xf borderId="1" fillId="6" fontId="5" numFmtId="14" xfId="0" applyAlignment="1" applyBorder="1" applyFont="1" applyNumberFormat="1">
      <alignment vertical="bottom"/>
    </xf>
    <xf borderId="1" fillId="6" fontId="5" numFmtId="0" xfId="0" applyAlignment="1" applyBorder="1" applyFont="1">
      <alignment vertical="bottom"/>
    </xf>
    <xf borderId="1" fillId="10" fontId="1" numFmtId="14" xfId="0" applyAlignment="1" applyBorder="1" applyFont="1" applyNumberFormat="1">
      <alignment horizontal="center"/>
    </xf>
    <xf borderId="1" fillId="7" fontId="3" numFmtId="0" xfId="0" applyBorder="1" applyFont="1"/>
    <xf borderId="1" fillId="6" fontId="5" numFmtId="165" xfId="0" applyAlignment="1" applyBorder="1" applyFont="1" applyNumberFormat="1">
      <alignment vertical="bottom"/>
    </xf>
    <xf borderId="1" fillId="0" fontId="5" numFmtId="14" xfId="0" applyAlignment="1" applyBorder="1" applyFont="1" applyNumberFormat="1">
      <alignment vertical="bottom"/>
    </xf>
    <xf borderId="1" fillId="12" fontId="1" numFmtId="170" xfId="0" applyAlignment="1" applyBorder="1" applyFont="1" applyNumberFormat="1">
      <alignment horizontal="center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left" readingOrder="0" shrinkToFit="0" wrapText="1"/>
    </xf>
    <xf borderId="1" fillId="11" fontId="1" numFmtId="0" xfId="0" applyAlignment="1" applyBorder="1" applyFont="1">
      <alignment horizontal="left" shrinkToFit="0" wrapText="1"/>
    </xf>
    <xf borderId="1" fillId="13" fontId="1" numFmtId="0" xfId="0" applyAlignment="1" applyBorder="1" applyFill="1" applyFont="1">
      <alignment shrinkToFit="0" wrapText="1"/>
    </xf>
    <xf borderId="1" fillId="13" fontId="1" numFmtId="0" xfId="0" applyAlignment="1" applyBorder="1" applyFont="1">
      <alignment horizontal="center" shrinkToFit="0" wrapText="1"/>
    </xf>
    <xf borderId="1" fillId="7" fontId="1" numFmtId="0" xfId="0" applyAlignment="1" applyBorder="1" applyFont="1">
      <alignment readingOrder="0" shrinkToFit="0" wrapText="1"/>
    </xf>
    <xf borderId="1" fillId="7" fontId="1" numFmtId="0" xfId="0" applyAlignment="1" applyBorder="1" applyFont="1">
      <alignment shrinkToFit="0" wrapText="0"/>
    </xf>
    <xf borderId="1" fillId="0" fontId="1" numFmtId="18" xfId="0" applyAlignment="1" applyBorder="1" applyFont="1" applyNumberFormat="1">
      <alignment horizontal="center"/>
    </xf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horizontal="center" readingOrder="0"/>
    </xf>
    <xf borderId="1" fillId="13" fontId="1" numFmtId="0" xfId="0" applyAlignment="1" applyBorder="1" applyFont="1">
      <alignment readingOrder="0" shrinkToFit="0" wrapText="1"/>
    </xf>
    <xf borderId="1" fillId="8" fontId="1" numFmtId="164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/>
    </xf>
    <xf borderId="1" fillId="8" fontId="1" numFmtId="18" xfId="0" applyAlignment="1" applyBorder="1" applyFont="1" applyNumberFormat="1">
      <alignment horizontal="center"/>
    </xf>
    <xf borderId="1" fillId="8" fontId="1" numFmtId="0" xfId="0" applyBorder="1" applyFont="1"/>
    <xf borderId="1" fillId="8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readingOrder="0" shrinkToFit="0" wrapText="1"/>
    </xf>
    <xf borderId="0" fillId="8" fontId="1" numFmtId="0" xfId="0" applyFont="1"/>
    <xf borderId="1" fillId="7" fontId="1" numFmtId="165" xfId="0" applyAlignment="1" applyBorder="1" applyFont="1" applyNumberFormat="1">
      <alignment horizontal="center" readingOrder="0"/>
    </xf>
    <xf borderId="1" fillId="7" fontId="1" numFmtId="18" xfId="0" applyAlignment="1" applyBorder="1" applyFont="1" applyNumberFormat="1">
      <alignment horizontal="center" readingOrder="0"/>
    </xf>
    <xf borderId="1" fillId="0" fontId="1" numFmtId="18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11" fontId="1" numFmtId="18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7" fontId="1" numFmtId="164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readingOrder="0" shrinkToFit="0" wrapText="0"/>
    </xf>
    <xf borderId="0" fillId="6" fontId="6" numFmtId="0" xfId="0" applyAlignment="1" applyFont="1">
      <alignment horizontal="center" readingOrder="0"/>
    </xf>
    <xf borderId="0" fillId="6" fontId="9" numFmtId="0" xfId="0" applyAlignment="1" applyFont="1">
      <alignment horizontal="center" readingOrder="0"/>
    </xf>
    <xf borderId="1" fillId="6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readingOrder="0" shrinkToFit="0" wrapText="1"/>
    </xf>
    <xf borderId="1" fillId="0" fontId="1" numFmtId="17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14" fontId="1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170" xfId="0" applyAlignment="1" applyFont="1" applyNumberFormat="1">
      <alignment horizontal="center"/>
    </xf>
    <xf borderId="1" fillId="15" fontId="2" numFmtId="0" xfId="0" applyAlignment="1" applyBorder="1" applyFill="1" applyFont="1">
      <alignment readingOrder="0"/>
    </xf>
    <xf borderId="1" fillId="0" fontId="2" numFmtId="0" xfId="0" applyBorder="1" applyFont="1"/>
    <xf borderId="1" fillId="16" fontId="10" numFmtId="0" xfId="0" applyAlignment="1" applyBorder="1" applyFill="1" applyFont="1">
      <alignment shrinkToFit="0" wrapText="1"/>
    </xf>
    <xf borderId="1" fillId="16" fontId="10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shrinkToFit="0" wrapText="1"/>
    </xf>
    <xf borderId="7" fillId="0" fontId="11" numFmtId="0" xfId="0" applyBorder="1" applyFont="1"/>
    <xf borderId="2" fillId="0" fontId="11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166" xfId="0" applyAlignment="1" applyBorder="1" applyFont="1" applyNumberFormat="1">
      <alignment horizontal="right" shrinkToFit="0" wrapText="1"/>
    </xf>
    <xf borderId="8" fillId="0" fontId="5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10" fillId="0" fontId="11" numFmtId="0" xfId="0" applyBorder="1" applyFont="1"/>
    <xf borderId="1" fillId="0" fontId="5" numFmtId="172" xfId="0" applyAlignment="1" applyBorder="1" applyFont="1" applyNumberFormat="1">
      <alignment horizontal="right" shrinkToFit="0" wrapText="1"/>
    </xf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" fillId="16" fontId="10" numFmtId="0" xfId="0" applyAlignment="1" applyBorder="1" applyFont="1">
      <alignment horizontal="right" shrinkToFit="0" wrapText="1"/>
    </xf>
    <xf borderId="6" fillId="0" fontId="5" numFmtId="0" xfId="0" applyAlignment="1" applyBorder="1" applyFont="1">
      <alignment horizontal="center" shrinkToFit="0" vertical="center" wrapText="1"/>
    </xf>
    <xf borderId="1" fillId="0" fontId="5" numFmtId="172" xfId="0" applyAlignment="1" applyBorder="1" applyFont="1" applyNumberFormat="1">
      <alignment horizontal="right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1" fillId="0" fontId="10" numFmtId="172" xfId="0" applyAlignment="1" applyBorder="1" applyFont="1" applyNumberFormat="1">
      <alignment horizontal="right" shrinkToFit="0" vertical="center" wrapText="1"/>
    </xf>
    <xf borderId="0" fillId="0" fontId="12" numFmtId="0" xfId="0" applyFont="1"/>
    <xf borderId="8" fillId="0" fontId="5" numFmtId="173" xfId="0" applyAlignment="1" applyBorder="1" applyFont="1" applyNumberFormat="1">
      <alignment horizontal="center" shrinkToFit="0" vertical="center" wrapText="1"/>
    </xf>
    <xf borderId="1" fillId="0" fontId="10" numFmtId="172" xfId="0" applyAlignment="1" applyBorder="1" applyFont="1" applyNumberFormat="1">
      <alignment horizontal="right" shrinkToFit="0" wrapText="1"/>
    </xf>
    <xf borderId="6" fillId="0" fontId="5" numFmtId="173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07">
    <tableStyle count="2" pivot="0" name="VILLAVICENCIO-style">
      <tableStyleElement dxfId="1" type="firstRowStripe"/>
      <tableStyleElement dxfId="1" type="secondRowStripe"/>
    </tableStyle>
    <tableStyle count="2" pivot="0" name="VILLAVICENCIO-style 2">
      <tableStyleElement dxfId="1" type="firstRowStripe"/>
      <tableStyleElement dxfId="1" type="secondRowStripe"/>
    </tableStyle>
    <tableStyle count="2" pivot="0" name="VILLAVICENCIO-style 3">
      <tableStyleElement dxfId="1" type="firstRowStripe"/>
      <tableStyleElement dxfId="1" type="secondRowStripe"/>
    </tableStyle>
    <tableStyle count="2" pivot="0" name="VILLAVICENCIO-style 4">
      <tableStyleElement dxfId="1" type="firstRowStripe"/>
      <tableStyleElement dxfId="1" type="secondRowStripe"/>
    </tableStyle>
    <tableStyle count="2" pivot="0" name="VILLAVICENCIO-style 5">
      <tableStyleElement dxfId="1" type="firstRowStripe"/>
      <tableStyleElement dxfId="1" type="secondRowStripe"/>
    </tableStyle>
    <tableStyle count="2" pivot="0" name="VILLAVICENCIO-style 6">
      <tableStyleElement dxfId="1" type="firstRowStripe"/>
      <tableStyleElement dxfId="1" type="secondRowStripe"/>
    </tableStyle>
    <tableStyle count="2" pivot="0" name="VILLAVICENCIO-style 7">
      <tableStyleElement dxfId="1" type="firstRowStripe"/>
      <tableStyleElement dxfId="1" type="secondRowStripe"/>
    </tableStyle>
    <tableStyle count="2" pivot="0" name="VILLAVICENCIO-style 8">
      <tableStyleElement dxfId="1" type="firstRowStripe"/>
      <tableStyleElement dxfId="1" type="secondRowStripe"/>
    </tableStyle>
    <tableStyle count="2" pivot="0" name="VILLAVICENCIO-style 9">
      <tableStyleElement dxfId="1" type="firstRowStripe"/>
      <tableStyleElement dxfId="1" type="secondRowStripe"/>
    </tableStyle>
    <tableStyle count="2" pivot="0" name="VILLAVICENCIO-style 10">
      <tableStyleElement dxfId="1" type="firstRowStripe"/>
      <tableStyleElement dxfId="1" type="secondRowStripe"/>
    </tableStyle>
    <tableStyle count="2" pivot="0" name="VILLAVICENCIO-style 11">
      <tableStyleElement dxfId="1" type="firstRowStripe"/>
      <tableStyleElement dxfId="1" type="secondRowStripe"/>
    </tableStyle>
    <tableStyle count="2" pivot="0" name="VILLAVICENCIO-style 12">
      <tableStyleElement dxfId="1" type="firstRowStripe"/>
      <tableStyleElement dxfId="1" type="secondRowStripe"/>
    </tableStyle>
    <tableStyle count="2" pivot="0" name="VILLAVICENCIO-style 13">
      <tableStyleElement dxfId="1" type="firstRowStripe"/>
      <tableStyleElement dxfId="1" type="secondRowStripe"/>
    </tableStyle>
    <tableStyle count="2" pivot="0" name="VILLAVICENCIO-style 14">
      <tableStyleElement dxfId="1" type="firstRowStripe"/>
      <tableStyleElement dxfId="1" type="secondRowStripe"/>
    </tableStyle>
    <tableStyle count="2" pivot="0" name="VILLAVICENCIO-style 15">
      <tableStyleElement dxfId="1" type="firstRowStripe"/>
      <tableStyleElement dxfId="1" type="secondRowStripe"/>
    </tableStyle>
    <tableStyle count="2" pivot="0" name="VILLAVICENCIO-style 16">
      <tableStyleElement dxfId="1" type="firstRowStripe"/>
      <tableStyleElement dxfId="1" type="secondRowStripe"/>
    </tableStyle>
    <tableStyle count="2" pivot="0" name="VILLAVICENCIO-style 17">
      <tableStyleElement dxfId="1" type="firstRowStripe"/>
      <tableStyleElement dxfId="1" type="secondRowStripe"/>
    </tableStyle>
    <tableStyle count="2" pivot="0" name="VILLAVICENCIO-style 18">
      <tableStyleElement dxfId="1" type="firstRowStripe"/>
      <tableStyleElement dxfId="1" type="secondRowStripe"/>
    </tableStyle>
    <tableStyle count="2" pivot="0" name="VILLAVICENCIO-style 19">
      <tableStyleElement dxfId="2" type="firstRowStripe"/>
      <tableStyleElement dxfId="1" type="secondRowStripe"/>
    </tableStyle>
    <tableStyle count="2" pivot="0" name="VILLAVICENCIO-style 20">
      <tableStyleElement dxfId="1" type="firstRowStripe"/>
      <tableStyleElement dxfId="1" type="secondRowStripe"/>
    </tableStyle>
    <tableStyle count="2" pivot="0" name="VILLAVICENCIO-style 21">
      <tableStyleElement dxfId="1" type="firstRowStripe"/>
      <tableStyleElement dxfId="1" type="secondRowStripe"/>
    </tableStyle>
    <tableStyle count="2" pivot="0" name="VILLAVICENCIO-style 22">
      <tableStyleElement dxfId="1" type="firstRowStripe"/>
      <tableStyleElement dxfId="1" type="secondRowStripe"/>
    </tableStyle>
    <tableStyle count="2" pivot="0" name="VILLAVICENCIO-style 23">
      <tableStyleElement dxfId="1" type="firstRowStripe"/>
      <tableStyleElement dxfId="1" type="secondRowStripe"/>
    </tableStyle>
    <tableStyle count="2" pivot="0" name="VILLAVICENCIO-style 24">
      <tableStyleElement dxfId="1" type="firstRowStripe"/>
      <tableStyleElement dxfId="1" type="secondRowStripe"/>
    </tableStyle>
    <tableStyle count="2" pivot="0" name="VILLAVICENCIO-style 25">
      <tableStyleElement dxfId="1" type="firstRowStripe"/>
      <tableStyleElement dxfId="1" type="secondRowStripe"/>
    </tableStyle>
    <tableStyle count="2" pivot="0" name="VILLAVICENCIO-style 26">
      <tableStyleElement dxfId="1" type="firstRowStripe"/>
      <tableStyleElement dxfId="1" type="secondRowStripe"/>
    </tableStyle>
    <tableStyle count="2" pivot="0" name="VILLAVICENCIO-style 27">
      <tableStyleElement dxfId="1" type="firstRowStripe"/>
      <tableStyleElement dxfId="1" type="secondRowStripe"/>
    </tableStyle>
    <tableStyle count="2" pivot="0" name="VILLAVICENCIO-style 28">
      <tableStyleElement dxfId="1" type="firstRowStripe"/>
      <tableStyleElement dxfId="1" type="secondRowStripe"/>
    </tableStyle>
    <tableStyle count="2" pivot="0" name="VILLAVICENCIO-style 29">
      <tableStyleElement dxfId="1" type="firstRowStripe"/>
      <tableStyleElement dxfId="1" type="secondRowStripe"/>
    </tableStyle>
    <tableStyle count="2" pivot="0" name="VILLAVICENCIO-style 30">
      <tableStyleElement dxfId="1" type="firstRowStripe"/>
      <tableStyleElement dxfId="1" type="secondRowStripe"/>
    </tableStyle>
    <tableStyle count="2" pivot="0" name="VILLAVICENCIO-style 31">
      <tableStyleElement dxfId="1" type="firstRowStripe"/>
      <tableStyleElement dxfId="1" type="secondRowStripe"/>
    </tableStyle>
    <tableStyle count="2" pivot="0" name="VILLAVICENCIO-style 32">
      <tableStyleElement dxfId="2" type="firstRowStripe"/>
      <tableStyleElement dxfId="1" type="secondRowStripe"/>
    </tableStyle>
    <tableStyle count="2" pivot="0" name="VILLAVICENCIO-style 33">
      <tableStyleElement dxfId="1" type="firstRowStripe"/>
      <tableStyleElement dxfId="1" type="secondRowStripe"/>
    </tableStyle>
    <tableStyle count="2" pivot="0" name="VILLAVICENCIO-style 34">
      <tableStyleElement dxfId="1" type="firstRowStripe"/>
      <tableStyleElement dxfId="1" type="secondRowStripe"/>
    </tableStyle>
    <tableStyle count="2" pivot="0" name="VILLAVICENCIO-style 35">
      <tableStyleElement dxfId="1" type="firstRowStripe"/>
      <tableStyleElement dxfId="1" type="secondRowStripe"/>
    </tableStyle>
    <tableStyle count="2" pivot="0" name="VILLAVICENCIO-style 36">
      <tableStyleElement dxfId="2" type="firstRowStripe"/>
      <tableStyleElement dxfId="1" type="secondRowStripe"/>
    </tableStyle>
    <tableStyle count="2" pivot="0" name="VILLAVICENCIO-style 37">
      <tableStyleElement dxfId="1" type="firstRowStripe"/>
      <tableStyleElement dxfId="1" type="secondRowStripe"/>
    </tableStyle>
    <tableStyle count="2" pivot="0" name="VILLAVICENCIO-style 38">
      <tableStyleElement dxfId="1" type="firstRowStripe"/>
      <tableStyleElement dxfId="1" type="secondRowStripe"/>
    </tableStyle>
    <tableStyle count="2" pivot="0" name="VILLAVICENCIO-style 39">
      <tableStyleElement dxfId="1" type="firstRowStripe"/>
      <tableStyleElement dxfId="1" type="secondRowStripe"/>
    </tableStyle>
    <tableStyle count="2" pivot="0" name="VILLAVICENCIO-style 40">
      <tableStyleElement dxfId="1" type="firstRowStripe"/>
      <tableStyleElement dxfId="2" type="secondRowStripe"/>
    </tableStyle>
    <tableStyle count="2" pivot="0" name="VILLAVICENCIO-style 41">
      <tableStyleElement dxfId="1" type="firstRowStripe"/>
      <tableStyleElement dxfId="1" type="secondRowStripe"/>
    </tableStyle>
    <tableStyle count="2" pivot="0" name="VILLAVICENCIO-style 42">
      <tableStyleElement dxfId="1" type="firstRowStripe"/>
      <tableStyleElement dxfId="1" type="secondRowStripe"/>
    </tableStyle>
    <tableStyle count="2" pivot="0" name="BOGOTA-style">
      <tableStyleElement dxfId="1" type="firstRowStripe"/>
      <tableStyleElement dxfId="2" type="secondRowStripe"/>
    </tableStyle>
    <tableStyle count="2" pivot="0" name="BOGOTA-style 2">
      <tableStyleElement dxfId="1" type="firstRowStripe"/>
      <tableStyleElement dxfId="2" type="secondRowStripe"/>
    </tableStyle>
    <tableStyle count="2" pivot="0" name="BOGOTA-style 3">
      <tableStyleElement dxfId="2" type="firstRowStripe"/>
      <tableStyleElement dxfId="1" type="secondRowStripe"/>
    </tableStyle>
    <tableStyle count="2" pivot="0" name="BOGOTA-style 4">
      <tableStyleElement dxfId="1" type="firstRowStripe"/>
      <tableStyleElement dxfId="2" type="secondRowStripe"/>
    </tableStyle>
    <tableStyle count="2" pivot="0" name="BOGOTA-style 5">
      <tableStyleElement dxfId="1" type="firstRowStripe"/>
      <tableStyleElement dxfId="2" type="secondRowStripe"/>
    </tableStyle>
    <tableStyle count="2" pivot="0" name="BOGOTA-style 6">
      <tableStyleElement dxfId="1" type="firstRowStripe"/>
      <tableStyleElement dxfId="2" type="secondRowStripe"/>
    </tableStyle>
    <tableStyle count="2" pivot="0" name="BOGOTA-style 7">
      <tableStyleElement dxfId="2" type="firstRowStripe"/>
      <tableStyleElement dxfId="1" type="secondRowStripe"/>
    </tableStyle>
    <tableStyle count="2" pivot="0" name="BOGOTA-style 8">
      <tableStyleElement dxfId="1" type="firstRowStripe"/>
      <tableStyleElement dxfId="2" type="secondRowStripe"/>
    </tableStyle>
    <tableStyle count="2" pivot="0" name="BOGOTA-style 9">
      <tableStyleElement dxfId="1" type="firstRowStripe"/>
      <tableStyleElement dxfId="2" type="secondRowStripe"/>
    </tableStyle>
    <tableStyle count="2" pivot="0" name="BOGOTA-style 10">
      <tableStyleElement dxfId="1" type="firstRowStripe"/>
      <tableStyleElement dxfId="2" type="secondRowStripe"/>
    </tableStyle>
    <tableStyle count="2" pivot="0" name="BOGOTA-style 11">
      <tableStyleElement dxfId="1" type="firstRowStripe"/>
      <tableStyleElement dxfId="2" type="secondRowStripe"/>
    </tableStyle>
    <tableStyle count="2" pivot="0" name="BOGOTA-style 12">
      <tableStyleElement dxfId="1" type="firstRowStripe"/>
      <tableStyleElement dxfId="2" type="secondRowStripe"/>
    </tableStyle>
    <tableStyle count="2" pivot="0" name="BOGOTA-style 13">
      <tableStyleElement dxfId="1" type="firstRowStripe"/>
      <tableStyleElement dxfId="2" type="secondRowStripe"/>
    </tableStyle>
    <tableStyle count="2" pivot="0" name="BOGOTA-style 14">
      <tableStyleElement dxfId="1" type="firstRowStripe"/>
      <tableStyleElement dxfId="2" type="secondRowStripe"/>
    </tableStyle>
    <tableStyle count="2" pivot="0" name="BOGOTA-style 15">
      <tableStyleElement dxfId="1" type="firstRowStripe"/>
      <tableStyleElement dxfId="2" type="secondRowStripe"/>
    </tableStyle>
    <tableStyle count="2" pivot="0" name="BOGOTA-style 16">
      <tableStyleElement dxfId="1" type="firstRowStripe"/>
      <tableStyleElement dxfId="2" type="secondRowStripe"/>
    </tableStyle>
    <tableStyle count="2" pivot="0" name="BOGOTA-style 17">
      <tableStyleElement dxfId="1" type="firstRowStripe"/>
      <tableStyleElement dxfId="2" type="secondRowStripe"/>
    </tableStyle>
    <tableStyle count="2" pivot="0" name="BOGOTA-style 18">
      <tableStyleElement dxfId="1" type="firstRowStripe"/>
      <tableStyleElement dxfId="2" type="secondRowStripe"/>
    </tableStyle>
    <tableStyle count="2" pivot="0" name="BOGOTA-style 19">
      <tableStyleElement dxfId="1" type="firstRowStripe"/>
      <tableStyleElement dxfId="2" type="secondRowStripe"/>
    </tableStyle>
    <tableStyle count="2" pivot="0" name="BOGOTA-style 20">
      <tableStyleElement dxfId="2" type="firstRowStripe"/>
      <tableStyleElement dxfId="1" type="secondRowStripe"/>
    </tableStyle>
    <tableStyle count="2" pivot="0" name="BOGOTA-style 21">
      <tableStyleElement dxfId="1" type="firstRowStripe"/>
      <tableStyleElement dxfId="2" type="secondRowStripe"/>
    </tableStyle>
    <tableStyle count="2" pivot="0" name="BOGOTA-style 22">
      <tableStyleElement dxfId="1" type="firstRowStripe"/>
      <tableStyleElement dxfId="2" type="secondRowStripe"/>
    </tableStyle>
    <tableStyle count="2" pivot="0" name="BOGOTA-style 23">
      <tableStyleElement dxfId="1" type="firstRowStripe"/>
      <tableStyleElement dxfId="2" type="secondRowStripe"/>
    </tableStyle>
    <tableStyle count="2" pivot="0" name="BOGOTA-style 24">
      <tableStyleElement dxfId="1" type="firstRowStripe"/>
      <tableStyleElement dxfId="2" type="secondRowStripe"/>
    </tableStyle>
    <tableStyle count="2" pivot="0" name="BOGOTA-style 25">
      <tableStyleElement dxfId="1" type="firstRowStripe"/>
      <tableStyleElement dxfId="2" type="secondRowStripe"/>
    </tableStyle>
    <tableStyle count="2" pivot="0" name="BOGOTA-style 26">
      <tableStyleElement dxfId="2" type="firstRowStripe"/>
      <tableStyleElement dxfId="1" type="secondRowStripe"/>
    </tableStyle>
    <tableStyle count="2" pivot="0" name="BOGOTA-style 27">
      <tableStyleElement dxfId="1" type="firstRowStripe"/>
      <tableStyleElement dxfId="2" type="secondRowStripe"/>
    </tableStyle>
    <tableStyle count="2" pivot="0" name="BOGOTA-style 28">
      <tableStyleElement dxfId="2" type="firstRowStripe"/>
      <tableStyleElement dxfId="1" type="secondRowStripe"/>
    </tableStyle>
    <tableStyle count="2" pivot="0" name="BOGOTA-style 29">
      <tableStyleElement dxfId="2" type="firstRowStripe"/>
      <tableStyleElement dxfId="1" type="secondRowStripe"/>
    </tableStyle>
    <tableStyle count="2" pivot="0" name="BOGOTA-style 30">
      <tableStyleElement dxfId="1" type="firstRowStripe"/>
      <tableStyleElement dxfId="2" type="secondRowStripe"/>
    </tableStyle>
    <tableStyle count="2" pivot="0" name="BOGOTA-style 31">
      <tableStyleElement dxfId="1" type="firstRowStripe"/>
      <tableStyleElement dxfId="2" type="secondRowStripe"/>
    </tableStyle>
    <tableStyle count="2" pivot="0" name="BOGOTA-style 32">
      <tableStyleElement dxfId="1" type="firstRowStripe"/>
      <tableStyleElement dxfId="2" type="secondRowStripe"/>
    </tableStyle>
    <tableStyle count="2" pivot="0" name="BOGOTA-style 33">
      <tableStyleElement dxfId="1" type="firstRowStripe"/>
      <tableStyleElement dxfId="2" type="secondRowStripe"/>
    </tableStyle>
    <tableStyle count="2" pivot="0" name="BOGOTA-style 34">
      <tableStyleElement dxfId="2" type="firstRowStripe"/>
      <tableStyleElement dxfId="1" type="secondRowStripe"/>
    </tableStyle>
    <tableStyle count="2" pivot="0" name="BOGOTA-style 35">
      <tableStyleElement dxfId="1" type="firstRowStripe"/>
      <tableStyleElement dxfId="2" type="secondRowStripe"/>
    </tableStyle>
    <tableStyle count="2" pivot="0" name="BOGOTA-style 36">
      <tableStyleElement dxfId="1" type="firstRowStripe"/>
      <tableStyleElement dxfId="2" type="secondRowStripe"/>
    </tableStyle>
    <tableStyle count="2" pivot="0" name="BOGOTA-style 37">
      <tableStyleElement dxfId="1" type="firstRowStripe"/>
      <tableStyleElement dxfId="2" type="secondRowStripe"/>
    </tableStyle>
    <tableStyle count="2" pivot="0" name="BOGOTA-style 38">
      <tableStyleElement dxfId="2" type="firstRowStripe"/>
      <tableStyleElement dxfId="1" type="secondRowStripe"/>
    </tableStyle>
    <tableStyle count="2" pivot="0" name="BOGOTA-style 39">
      <tableStyleElement dxfId="1" type="firstRowStripe"/>
      <tableStyleElement dxfId="2" type="secondRowStripe"/>
    </tableStyle>
    <tableStyle count="2" pivot="0" name="BOGOTA-style 40">
      <tableStyleElement dxfId="1" type="firstRowStripe"/>
      <tableStyleElement dxfId="2" type="secondRowStripe"/>
    </tableStyle>
    <tableStyle count="2" pivot="0" name="BOGOTA-style 41">
      <tableStyleElement dxfId="2" type="firstRowStripe"/>
      <tableStyleElement dxfId="1" type="secondRowStripe"/>
    </tableStyle>
    <tableStyle count="2" pivot="0" name="BOGOTA-style 42">
      <tableStyleElement dxfId="1" type="firstRowStripe"/>
      <tableStyleElement dxfId="2" type="secondRowStripe"/>
    </tableStyle>
    <tableStyle count="2" pivot="0" name="BOGOTA-style 43">
      <tableStyleElement dxfId="1" type="firstRowStripe"/>
      <tableStyleElement dxfId="2" type="secondRowStripe"/>
    </tableStyle>
    <tableStyle count="2" pivot="0" name="BOGOTA-style 44">
      <tableStyleElement dxfId="1" type="firstRowStripe"/>
      <tableStyleElement dxfId="2" type="secondRowStripe"/>
    </tableStyle>
    <tableStyle count="2" pivot="0" name="BOGOTA-style 45">
      <tableStyleElement dxfId="2" type="firstRowStripe"/>
      <tableStyleElement dxfId="1" type="secondRowStripe"/>
    </tableStyle>
    <tableStyle count="2" pivot="0" name="BOGOTA-style 46">
      <tableStyleElement dxfId="1" type="firstRowStripe"/>
      <tableStyleElement dxfId="2" type="secondRowStripe"/>
    </tableStyle>
    <tableStyle count="2" pivot="0" name="BOGOTA-style 47">
      <tableStyleElement dxfId="1" type="firstRowStripe"/>
      <tableStyleElement dxfId="2" type="secondRowStripe"/>
    </tableStyle>
    <tableStyle count="2" pivot="0" name="BOGOTA-style 48">
      <tableStyleElement dxfId="1" type="firstRowStripe"/>
      <tableStyleElement dxfId="2" type="secondRowStripe"/>
    </tableStyle>
    <tableStyle count="2" pivot="0" name="BOGOTA-style 49">
      <tableStyleElement dxfId="1" type="firstRowStripe"/>
      <tableStyleElement dxfId="2" type="secondRowStripe"/>
    </tableStyle>
    <tableStyle count="2" pivot="0" name="BOGOTA-style 50">
      <tableStyleElement dxfId="1" type="firstRowStripe"/>
      <tableStyleElement dxfId="2" type="secondRowStripe"/>
    </tableStyle>
    <tableStyle count="2" pivot="0" name="BOGOTA-style 51">
      <tableStyleElement dxfId="1" type="firstRowStripe"/>
      <tableStyleElement dxfId="2" type="secondRowStripe"/>
    </tableStyle>
    <tableStyle count="2" pivot="0" name="BOGOTA-style 52">
      <tableStyleElement dxfId="2" type="firstRowStripe"/>
      <tableStyleElement dxfId="1" type="secondRowStripe"/>
    </tableStyle>
    <tableStyle count="2" pivot="0" name="BOGOTA-style 53">
      <tableStyleElement dxfId="1" type="firstRowStripe"/>
      <tableStyleElement dxfId="2" type="secondRowStripe"/>
    </tableStyle>
    <tableStyle count="2" pivot="0" name="BOGOTA-style 54">
      <tableStyleElement dxfId="1" type="firstRowStripe"/>
      <tableStyleElement dxfId="2" type="secondRowStripe"/>
    </tableStyle>
    <tableStyle count="2" pivot="0" name="BOGOTA-style 55">
      <tableStyleElement dxfId="1" type="firstRowStripe"/>
      <tableStyleElement dxfId="2" type="secondRowStripe"/>
    </tableStyle>
    <tableStyle count="2" pivot="0" name="BOGOTA-style 56">
      <tableStyleElement dxfId="1" type="firstRowStripe"/>
      <tableStyleElement dxfId="2" type="secondRowStripe"/>
    </tableStyle>
    <tableStyle count="2" pivot="0" name="BOGOTA-style 57">
      <tableStyleElement dxfId="2" type="firstRowStripe"/>
      <tableStyleElement dxfId="1" type="secondRowStripe"/>
    </tableStyle>
    <tableStyle count="2" pivot="0" name="BOGOTA-style 58">
      <tableStyleElement dxfId="1" type="firstRowStripe"/>
      <tableStyleElement dxfId="2" type="secondRowStripe"/>
    </tableStyle>
    <tableStyle count="2" pivot="0" name="BOGOTA-style 59">
      <tableStyleElement dxfId="1" type="firstRowStripe"/>
      <tableStyleElement dxfId="2" type="secondRowStripe"/>
    </tableStyle>
    <tableStyle count="2" pivot="0" name="BOGOTA-style 60">
      <tableStyleElement dxfId="2" type="firstRowStripe"/>
      <tableStyleElement dxfId="1" type="secondRowStripe"/>
    </tableStyle>
    <tableStyle count="2" pivot="0" name="BOGOTA-style 61">
      <tableStyleElement dxfId="1" type="firstRowStripe"/>
      <tableStyleElement dxfId="2" type="secondRowStripe"/>
    </tableStyle>
    <tableStyle count="2" pivot="0" name="BOGOTA-style 62">
      <tableStyleElement dxfId="1" type="firstRowStripe"/>
      <tableStyleElement dxfId="2" type="secondRowStripe"/>
    </tableStyle>
    <tableStyle count="2" pivot="0" name="BOGOTA-style 63">
      <tableStyleElement dxfId="1" type="firstRowStripe"/>
      <tableStyleElement dxfId="2" type="secondRowStripe"/>
    </tableStyle>
    <tableStyle count="2" pivot="0" name="BOGOTA-style 64">
      <tableStyleElement dxfId="1" type="firstRowStripe"/>
      <tableStyleElement dxfId="2" type="secondRowStripe"/>
    </tableStyle>
    <tableStyle count="2" pivot="0" name="BOGOTA-style 65">
      <tableStyleElement dxfId="1" type="firstRowStripe"/>
      <tableStyleElement dxfId="2" type="secondRowStripe"/>
    </tableStyle>
    <tableStyle count="2" pivot="0" name="BOGOTA-style 66">
      <tableStyleElement dxfId="1" type="firstRowStripe"/>
      <tableStyleElement dxfId="2" type="secondRowStripe"/>
    </tableStyle>
    <tableStyle count="2" pivot="0" name="BOGOTA-style 67">
      <tableStyleElement dxfId="2" type="firstRowStripe"/>
      <tableStyleElement dxfId="1" type="secondRowStripe"/>
    </tableStyle>
    <tableStyle count="2" pivot="0" name="BOGOTA-style 68">
      <tableStyleElement dxfId="1" type="firstRowStripe"/>
      <tableStyleElement dxfId="2" type="secondRowStripe"/>
    </tableStyle>
    <tableStyle count="2" pivot="0" name="BOGOTA-style 69">
      <tableStyleElement dxfId="1" type="firstRowStripe"/>
      <tableStyleElement dxfId="2" type="secondRowStripe"/>
    </tableStyle>
    <tableStyle count="2" pivot="0" name="BOGOTA-style 70">
      <tableStyleElement dxfId="1" type="firstRowStripe"/>
      <tableStyleElement dxfId="2" type="secondRowStripe"/>
    </tableStyle>
    <tableStyle count="2" pivot="0" name="BOGOTA-style 71">
      <tableStyleElement dxfId="1" type="firstRowStripe"/>
      <tableStyleElement dxfId="2" type="secondRowStripe"/>
    </tableStyle>
    <tableStyle count="2" pivot="0" name="BOGOTA-style 72">
      <tableStyleElement dxfId="1" type="firstRowStripe"/>
      <tableStyleElement dxfId="2" type="secondRowStripe"/>
    </tableStyle>
    <tableStyle count="2" pivot="0" name="BOGOTA-style 73">
      <tableStyleElement dxfId="1" type="firstRowStripe"/>
      <tableStyleElement dxfId="2" type="secondRowStripe"/>
    </tableStyle>
    <tableStyle count="2" pivot="0" name="BOGOTA-style 74">
      <tableStyleElement dxfId="1" type="firstRowStripe"/>
      <tableStyleElement dxfId="2" type="secondRowStripe"/>
    </tableStyle>
    <tableStyle count="2" pivot="0" name="BOGOTA-style 75">
      <tableStyleElement dxfId="1" type="firstRowStripe"/>
      <tableStyleElement dxfId="2" type="secondRowStripe"/>
    </tableStyle>
    <tableStyle count="2" pivot="0" name="BOGOTA-style 76">
      <tableStyleElement dxfId="1" type="firstRowStripe"/>
      <tableStyleElement dxfId="2" type="secondRowStripe"/>
    </tableStyle>
    <tableStyle count="2" pivot="0" name="BOGOTA-style 77">
      <tableStyleElement dxfId="1" type="firstRowStripe"/>
      <tableStyleElement dxfId="2" type="secondRowStripe"/>
    </tableStyle>
    <tableStyle count="2" pivot="0" name="BOGOTA-style 78">
      <tableStyleElement dxfId="1" type="firstRowStripe"/>
      <tableStyleElement dxfId="2" type="secondRowStripe"/>
    </tableStyle>
    <tableStyle count="2" pivot="0" name="BOGOTA-style 79">
      <tableStyleElement dxfId="1" type="firstRowStripe"/>
      <tableStyleElement dxfId="2" type="secondRowStripe"/>
    </tableStyle>
    <tableStyle count="2" pivot="0" name="BOGOTA-style 80">
      <tableStyleElement dxfId="1" type="firstRowStripe"/>
      <tableStyleElement dxfId="2" type="secondRowStripe"/>
    </tableStyle>
    <tableStyle count="2" pivot="0" name="BOGOTA-style 81">
      <tableStyleElement dxfId="1" type="firstRowStripe"/>
      <tableStyleElement dxfId="2" type="secondRowStripe"/>
    </tableStyle>
    <tableStyle count="2" pivot="0" name="BOGOTA-style 82">
      <tableStyleElement dxfId="2" type="firstRowStripe"/>
      <tableStyleElement dxfId="1" type="secondRowStripe"/>
    </tableStyle>
    <tableStyle count="2" pivot="0" name="BOGOTA-style 83">
      <tableStyleElement dxfId="1" type="firstRowStripe"/>
      <tableStyleElement dxfId="2" type="secondRowStripe"/>
    </tableStyle>
    <tableStyle count="2" pivot="0" name="BOGOTA-style 84">
      <tableStyleElement dxfId="1" type="firstRowStripe"/>
      <tableStyleElement dxfId="2" type="secondRowStripe"/>
    </tableStyle>
    <tableStyle count="2" pivot="0" name="BOGOTA-style 85">
      <tableStyleElement dxfId="2" type="firstRowStripe"/>
      <tableStyleElement dxfId="1" type="secondRowStripe"/>
    </tableStyle>
    <tableStyle count="2" pivot="0" name="BOGOTA-style 86">
      <tableStyleElement dxfId="1" type="firstRowStripe"/>
      <tableStyleElement dxfId="2" type="secondRowStripe"/>
    </tableStyle>
    <tableStyle count="2" pivot="0" name="BOGOTA-style 87">
      <tableStyleElement dxfId="2" type="firstRowStripe"/>
      <tableStyleElement dxfId="1" type="secondRowStripe"/>
    </tableStyle>
    <tableStyle count="2" pivot="0" name="BOGOTA-style 88">
      <tableStyleElement dxfId="1" type="firstRowStripe"/>
      <tableStyleElement dxfId="2" type="secondRowStripe"/>
    </tableStyle>
    <tableStyle count="2" pivot="0" name="BOGOTA-style 89">
      <tableStyleElement dxfId="2" type="firstRowStripe"/>
      <tableStyleElement dxfId="1" type="secondRowStripe"/>
    </tableStyle>
    <tableStyle count="2" pivot="0" name="BOGOTA-style 90">
      <tableStyleElement dxfId="1" type="firstRowStripe"/>
      <tableStyleElement dxfId="2" type="secondRowStripe"/>
    </tableStyle>
    <tableStyle count="2" pivot="0" name="BOGOTA-style 91">
      <tableStyleElement dxfId="1" type="firstRowStripe"/>
      <tableStyleElement dxfId="2" type="secondRowStripe"/>
    </tableStyle>
    <tableStyle count="2" pivot="0" name="BOGOTA-style 92">
      <tableStyleElement dxfId="2" type="firstRowStripe"/>
      <tableStyleElement dxfId="1" type="secondRowStripe"/>
    </tableStyle>
    <tableStyle count="2" pivot="0" name="BOGOTA-style 93">
      <tableStyleElement dxfId="1" type="firstRowStripe"/>
      <tableStyleElement dxfId="2" type="secondRowStripe"/>
    </tableStyle>
    <tableStyle count="2" pivot="0" name="BOGOTA-style 94">
      <tableStyleElement dxfId="1" type="firstRowStripe"/>
      <tableStyleElement dxfId="2" type="secondRowStripe"/>
    </tableStyle>
    <tableStyle count="2" pivot="0" name="BOGOTA-style 95">
      <tableStyleElement dxfId="2" type="firstRowStripe"/>
      <tableStyleElement dxfId="1" type="secondRowStripe"/>
    </tableStyle>
    <tableStyle count="2" pivot="0" name="BOGOTA-style 96">
      <tableStyleElement dxfId="1" type="firstRowStripe"/>
      <tableStyleElement dxfId="2" type="secondRowStripe"/>
    </tableStyle>
    <tableStyle count="2" pivot="0" name="BOGOTA-style 97">
      <tableStyleElement dxfId="1" type="firstRowStripe"/>
      <tableStyleElement dxfId="2" type="secondRowStripe"/>
    </tableStyle>
    <tableStyle count="2" pivot="0" name="BOGOTA-style 98">
      <tableStyleElement dxfId="1" type="firstRowStripe"/>
      <tableStyleElement dxfId="2" type="secondRowStripe"/>
    </tableStyle>
    <tableStyle count="2" pivot="0" name="BOGOTA-style 99">
      <tableStyleElement dxfId="2" type="firstRowStripe"/>
      <tableStyleElement dxfId="1" type="secondRowStripe"/>
    </tableStyle>
    <tableStyle count="2" pivot="0" name="BOGOTA-style 100">
      <tableStyleElement dxfId="1" type="firstRowStripe"/>
      <tableStyleElement dxfId="2" type="secondRowStripe"/>
    </tableStyle>
    <tableStyle count="2" pivot="0" name="BOGOTA-style 101">
      <tableStyleElement dxfId="1" type="firstRowStripe"/>
      <tableStyleElement dxfId="2" type="secondRowStripe"/>
    </tableStyle>
    <tableStyle count="2" pivot="0" name="BOGOTA-style 102">
      <tableStyleElement dxfId="1" type="firstRowStripe"/>
      <tableStyleElement dxfId="2" type="secondRowStripe"/>
    </tableStyle>
    <tableStyle count="2" pivot="0" name="BOGOTA-style 103">
      <tableStyleElement dxfId="2" type="firstRowStripe"/>
      <tableStyleElement dxfId="1" type="secondRowStripe"/>
    </tableStyle>
    <tableStyle count="2" pivot="0" name="BOGOTA-style 104">
      <tableStyleElement dxfId="1" type="firstRowStripe"/>
      <tableStyleElement dxfId="2" type="secondRowStripe"/>
    </tableStyle>
    <tableStyle count="2" pivot="0" name="BOGOTA-style 105">
      <tableStyleElement dxfId="2" type="firstRowStripe"/>
      <tableStyleElement dxfId="1" type="secondRowStripe"/>
    </tableStyle>
    <tableStyle count="2" pivot="0" name="BOGOTA-style 106">
      <tableStyleElement dxfId="2" type="firstRowStripe"/>
      <tableStyleElement dxfId="1" type="secondRowStripe"/>
    </tableStyle>
    <tableStyle count="2" pivot="0" name="BOGOTA-style 107">
      <tableStyleElement dxfId="2" type="firstRowStripe"/>
      <tableStyleElement dxfId="1" type="secondRowStripe"/>
    </tableStyle>
    <tableStyle count="2" pivot="0" name="BOGOTA-style 108">
      <tableStyleElement dxfId="1" type="firstRowStripe"/>
      <tableStyleElement dxfId="2" type="secondRowStripe"/>
    </tableStyle>
    <tableStyle count="2" pivot="0" name="BOGOTA-style 109">
      <tableStyleElement dxfId="2" type="firstRowStripe"/>
      <tableStyleElement dxfId="1" type="secondRowStripe"/>
    </tableStyle>
    <tableStyle count="2" pivot="0" name="BOGOTA-style 110">
      <tableStyleElement dxfId="1" type="firstRowStripe"/>
      <tableStyleElement dxfId="2" type="secondRowStripe"/>
    </tableStyle>
    <tableStyle count="2" pivot="0" name="BOGOTA-style 111">
      <tableStyleElement dxfId="1" type="firstRowStripe"/>
      <tableStyleElement dxfId="2" type="secondRowStripe"/>
    </tableStyle>
    <tableStyle count="2" pivot="0" name="BOGOTA-style 112">
      <tableStyleElement dxfId="1" type="firstRowStripe"/>
      <tableStyleElement dxfId="2" type="secondRowStripe"/>
    </tableStyle>
    <tableStyle count="2" pivot="0" name="BOGOTA-style 113">
      <tableStyleElement dxfId="1" type="firstRowStripe"/>
      <tableStyleElement dxfId="2" type="secondRowStripe"/>
    </tableStyle>
    <tableStyle count="2" pivot="0" name="BOGOTA-style 114">
      <tableStyleElement dxfId="2" type="firstRowStripe"/>
      <tableStyleElement dxfId="1" type="secondRowStripe"/>
    </tableStyle>
    <tableStyle count="2" pivot="0" name="BOGOTA-style 115">
      <tableStyleElement dxfId="1" type="firstRowStripe"/>
      <tableStyleElement dxfId="2" type="secondRowStripe"/>
    </tableStyle>
    <tableStyle count="2" pivot="0" name="BOGOTA-style 116">
      <tableStyleElement dxfId="1" type="firstRowStripe"/>
      <tableStyleElement dxfId="2" type="secondRowStripe"/>
    </tableStyle>
    <tableStyle count="2" pivot="0" name="BOGOTA-style 117">
      <tableStyleElement dxfId="2" type="firstRowStripe"/>
      <tableStyleElement dxfId="1" type="secondRowStripe"/>
    </tableStyle>
    <tableStyle count="2" pivot="0" name="BOGOTA-style 118">
      <tableStyleElement dxfId="1" type="firstRowStripe"/>
      <tableStyleElement dxfId="2" type="secondRowStripe"/>
    </tableStyle>
    <tableStyle count="2" pivot="0" name="BOGOTA-style 119">
      <tableStyleElement dxfId="1" type="firstRowStripe"/>
      <tableStyleElement dxfId="2" type="secondRowStripe"/>
    </tableStyle>
    <tableStyle count="2" pivot="0" name="BOGOTA-style 120">
      <tableStyleElement dxfId="2" type="firstRowStripe"/>
      <tableStyleElement dxfId="1" type="secondRowStripe"/>
    </tableStyle>
    <tableStyle count="2" pivot="0" name="BOGOTA-style 121">
      <tableStyleElement dxfId="2" type="firstRowStripe"/>
      <tableStyleElement dxfId="1" type="secondRowStripe"/>
    </tableStyle>
    <tableStyle count="2" pivot="0" name="BOGOTA-style 122">
      <tableStyleElement dxfId="1" type="firstRowStripe"/>
      <tableStyleElement dxfId="2" type="secondRowStripe"/>
    </tableStyle>
    <tableStyle count="2" pivot="0" name="BOGOTA-style 123">
      <tableStyleElement dxfId="1" type="firstRowStripe"/>
      <tableStyleElement dxfId="2" type="secondRowStripe"/>
    </tableStyle>
    <tableStyle count="2" pivot="0" name="BOGOTA-style 124">
      <tableStyleElement dxfId="1" type="firstRowStripe"/>
      <tableStyleElement dxfId="2" type="secondRowStripe"/>
    </tableStyle>
    <tableStyle count="2" pivot="0" name="BOGOTA-style 125">
      <tableStyleElement dxfId="2" type="firstRowStripe"/>
      <tableStyleElement dxfId="1" type="secondRowStripe"/>
    </tableStyle>
    <tableStyle count="2" pivot="0" name="BOGOTA-style 126">
      <tableStyleElement dxfId="2" type="firstRowStripe"/>
      <tableStyleElement dxfId="1" type="secondRowStripe"/>
    </tableStyle>
    <tableStyle count="2" pivot="0" name="BOGOTA-style 127">
      <tableStyleElement dxfId="1" type="firstRowStripe"/>
      <tableStyleElement dxfId="2" type="secondRowStripe"/>
    </tableStyle>
    <tableStyle count="2" pivot="0" name="BOGOTA-style 128">
      <tableStyleElement dxfId="1" type="firstRowStripe"/>
      <tableStyleElement dxfId="2" type="secondRowStripe"/>
    </tableStyle>
    <tableStyle count="2" pivot="0" name="BOGOTA-style 129">
      <tableStyleElement dxfId="2" type="firstRowStripe"/>
      <tableStyleElement dxfId="1" type="secondRowStripe"/>
    </tableStyle>
    <tableStyle count="2" pivot="0" name="BOGOTA-style 130">
      <tableStyleElement dxfId="1" type="firstRowStripe"/>
      <tableStyleElement dxfId="2" type="secondRowStripe"/>
    </tableStyle>
    <tableStyle count="2" pivot="0" name="BOGOTA-style 131">
      <tableStyleElement dxfId="1" type="firstRowStripe"/>
      <tableStyleElement dxfId="2" type="secondRowStripe"/>
    </tableStyle>
    <tableStyle count="2" pivot="0" name="BOGOTA-style 132">
      <tableStyleElement dxfId="1" type="firstRowStripe"/>
      <tableStyleElement dxfId="2" type="secondRowStripe"/>
    </tableStyle>
    <tableStyle count="2" pivot="0" name="BOGOTA-style 133">
      <tableStyleElement dxfId="1" type="firstRowStripe"/>
      <tableStyleElement dxfId="2" type="secondRowStripe"/>
    </tableStyle>
    <tableStyle count="2" pivot="0" name="BOGOTA-style 134">
      <tableStyleElement dxfId="1" type="firstRowStripe"/>
      <tableStyleElement dxfId="2" type="secondRowStripe"/>
    </tableStyle>
    <tableStyle count="2" pivot="0" name="BOGOTA-style 135">
      <tableStyleElement dxfId="1" type="firstRowStripe"/>
      <tableStyleElement dxfId="2" type="secondRowStripe"/>
    </tableStyle>
    <tableStyle count="2" pivot="0" name="BOGOTA-style 136">
      <tableStyleElement dxfId="2" type="firstRowStripe"/>
      <tableStyleElement dxfId="1" type="secondRowStripe"/>
    </tableStyle>
    <tableStyle count="2" pivot="0" name="BOGOTA-style 137">
      <tableStyleElement dxfId="1" type="firstRowStripe"/>
      <tableStyleElement dxfId="2" type="secondRowStripe"/>
    </tableStyle>
    <tableStyle count="2" pivot="0" name="BOGOTA-style 138">
      <tableStyleElement dxfId="1" type="firstRowStripe"/>
      <tableStyleElement dxfId="2" type="secondRowStripe"/>
    </tableStyle>
    <tableStyle count="2" pivot="0" name="BOGOTA-style 139">
      <tableStyleElement dxfId="1" type="firstRowStripe"/>
      <tableStyleElement dxfId="2" type="secondRowStripe"/>
    </tableStyle>
    <tableStyle count="2" pivot="0" name="BOGOTA-style 140">
      <tableStyleElement dxfId="1" type="firstRowStripe"/>
      <tableStyleElement dxfId="2" type="secondRowStripe"/>
    </tableStyle>
    <tableStyle count="2" pivot="0" name="BOGOTA-style 141">
      <tableStyleElement dxfId="1" type="firstRowStripe"/>
      <tableStyleElement dxfId="2" type="secondRowStripe"/>
    </tableStyle>
    <tableStyle count="2" pivot="0" name="BOGOTA-style 142">
      <tableStyleElement dxfId="1" type="firstRowStripe"/>
      <tableStyleElement dxfId="2" type="secondRowStripe"/>
    </tableStyle>
    <tableStyle count="2" pivot="0" name="BOGOTA-style 143">
      <tableStyleElement dxfId="1" type="firstRowStripe"/>
      <tableStyleElement dxfId="2" type="secondRowStripe"/>
    </tableStyle>
    <tableStyle count="2" pivot="0" name="BOGOTA-style 144">
      <tableStyleElement dxfId="1" type="firstRowStripe"/>
      <tableStyleElement dxfId="2" type="secondRowStripe"/>
    </tableStyle>
    <tableStyle count="2" pivot="0" name="BOGOTA-style 145">
      <tableStyleElement dxfId="1" type="firstRowStripe"/>
      <tableStyleElement dxfId="2" type="secondRowStripe"/>
    </tableStyle>
    <tableStyle count="2" pivot="0" name="BOGOTA-style 146">
      <tableStyleElement dxfId="2" type="firstRowStripe"/>
      <tableStyleElement dxfId="1" type="secondRowStripe"/>
    </tableStyle>
    <tableStyle count="2" pivot="0" name="BOGOTA-style 147">
      <tableStyleElement dxfId="1" type="firstRowStripe"/>
      <tableStyleElement dxfId="2" type="secondRowStripe"/>
    </tableStyle>
    <tableStyle count="2" pivot="0" name="BOGOTA-style 148">
      <tableStyleElement dxfId="1" type="firstRowStripe"/>
      <tableStyleElement dxfId="2" type="secondRowStripe"/>
    </tableStyle>
    <tableStyle count="2" pivot="0" name="BOGOTA-style 149">
      <tableStyleElement dxfId="1" type="firstRowStripe"/>
      <tableStyleElement dxfId="2" type="secondRowStripe"/>
    </tableStyle>
    <tableStyle count="2" pivot="0" name="BOGOTA-style 150">
      <tableStyleElement dxfId="1" type="firstRowStripe"/>
      <tableStyleElement dxfId="2" type="secondRowStripe"/>
    </tableStyle>
    <tableStyle count="2" pivot="0" name="BOGOTA-style 151">
      <tableStyleElement dxfId="1" type="firstRowStripe"/>
      <tableStyleElement dxfId="2" type="secondRowStripe"/>
    </tableStyle>
    <tableStyle count="2" pivot="0" name="BOGOTA-style 152">
      <tableStyleElement dxfId="2" type="firstRowStripe"/>
      <tableStyleElement dxfId="1" type="secondRowStripe"/>
    </tableStyle>
    <tableStyle count="2" pivot="0" name="BOGOTA-style 153">
      <tableStyleElement dxfId="2" type="firstRowStripe"/>
      <tableStyleElement dxfId="1" type="secondRowStripe"/>
    </tableStyle>
    <tableStyle count="2" pivot="0" name="BOGOTA-style 154">
      <tableStyleElement dxfId="1" type="firstRowStripe"/>
      <tableStyleElement dxfId="2" type="secondRowStripe"/>
    </tableStyle>
    <tableStyle count="2" pivot="0" name="BOGOTA-style 155">
      <tableStyleElement dxfId="1" type="firstRowStripe"/>
      <tableStyleElement dxfId="2" type="secondRowStripe"/>
    </tableStyle>
    <tableStyle count="2" pivot="0" name="BOGOTA-style 156">
      <tableStyleElement dxfId="2" type="firstRowStripe"/>
      <tableStyleElement dxfId="1" type="secondRowStripe"/>
    </tableStyle>
    <tableStyle count="2" pivot="0" name="BOGOTA-style 157">
      <tableStyleElement dxfId="1" type="firstRowStripe"/>
      <tableStyleElement dxfId="2" type="secondRowStripe"/>
    </tableStyle>
    <tableStyle count="2" pivot="0" name="BOGOTA-style 158">
      <tableStyleElement dxfId="2" type="firstRowStripe"/>
      <tableStyleElement dxfId="1" type="secondRowStripe"/>
    </tableStyle>
    <tableStyle count="2" pivot="0" name="BOGOTA-style 159">
      <tableStyleElement dxfId="1" type="firstRowStripe"/>
      <tableStyleElement dxfId="2" type="secondRowStripe"/>
    </tableStyle>
    <tableStyle count="2" pivot="0" name="BOGOTA-style 160">
      <tableStyleElement dxfId="1" type="firstRowStripe"/>
      <tableStyleElement dxfId="2" type="secondRowStripe"/>
    </tableStyle>
    <tableStyle count="2" pivot="0" name="BOGOTA-style 161">
      <tableStyleElement dxfId="1" type="firstRowStripe"/>
      <tableStyleElement dxfId="2" type="secondRowStripe"/>
    </tableStyle>
    <tableStyle count="2" pivot="0" name="BOGOTA-style 162">
      <tableStyleElement dxfId="1" type="firstRowStripe"/>
      <tableStyleElement dxfId="2" type="secondRowStripe"/>
    </tableStyle>
    <tableStyle count="2" pivot="0" name="BOGOTA-style 163">
      <tableStyleElement dxfId="1" type="firstRowStripe"/>
      <tableStyleElement dxfId="2" type="secondRowStripe"/>
    </tableStyle>
    <tableStyle count="2" pivot="0" name="BOGOTA-style 164">
      <tableStyleElement dxfId="1" type="firstRowStripe"/>
      <tableStyleElement dxfId="2" type="secondRowStripe"/>
    </tableStyle>
    <tableStyle count="2" pivot="0" name="BOGOTA-style 165">
      <tableStyleElement dxfId="1" type="firstRowStripe"/>
      <tableStyleElement dxfId="2" type="secondRowStripe"/>
    </tableStyle>
    <tableStyle count="2" pivot="0" name="BOGOTA-style 166">
      <tableStyleElement dxfId="1" type="firstRowStripe"/>
      <tableStyleElement dxfId="2" type="secondRowStripe"/>
    </tableStyle>
    <tableStyle count="2" pivot="0" name="BOGOTA-style 167">
      <tableStyleElement dxfId="1" type="firstRowStripe"/>
      <tableStyleElement dxfId="2" type="secondRowStripe"/>
    </tableStyle>
    <tableStyle count="2" pivot="0" name="BOGOTA-style 168">
      <tableStyleElement dxfId="1" type="firstRowStripe"/>
      <tableStyleElement dxfId="2" type="secondRowStripe"/>
    </tableStyle>
    <tableStyle count="2" pivot="0" name="BOGOTA-style 169">
      <tableStyleElement dxfId="1" type="firstRowStripe"/>
      <tableStyleElement dxfId="2" type="secondRowStripe"/>
    </tableStyle>
    <tableStyle count="2" pivot="0" name="BOGOTA-style 170">
      <tableStyleElement dxfId="1" type="firstRowStripe"/>
      <tableStyleElement dxfId="2" type="secondRowStripe"/>
    </tableStyle>
    <tableStyle count="2" pivot="0" name="BOGOTA-style 171">
      <tableStyleElement dxfId="1" type="firstRowStripe"/>
      <tableStyleElement dxfId="2" type="secondRowStripe"/>
    </tableStyle>
    <tableStyle count="2" pivot="0" name="BOGOTA-style 172">
      <tableStyleElement dxfId="1" type="firstRowStripe"/>
      <tableStyleElement dxfId="2" type="secondRowStripe"/>
    </tableStyle>
    <tableStyle count="2" pivot="0" name="BOGOTA-style 173">
      <tableStyleElement dxfId="1" type="firstRowStripe"/>
      <tableStyleElement dxfId="2" type="secondRowStripe"/>
    </tableStyle>
    <tableStyle count="2" pivot="0" name="BOGOTA-style 174">
      <tableStyleElement dxfId="1" type="firstRowStripe"/>
      <tableStyleElement dxfId="2" type="secondRowStripe"/>
    </tableStyle>
    <tableStyle count="2" pivot="0" name="BOGOTA-style 175">
      <tableStyleElement dxfId="1" type="firstRowStripe"/>
      <tableStyleElement dxfId="2" type="secondRowStripe"/>
    </tableStyle>
    <tableStyle count="2" pivot="0" name="BOGOTA-style 176">
      <tableStyleElement dxfId="1" type="firstRowStripe"/>
      <tableStyleElement dxfId="2" type="secondRowStripe"/>
    </tableStyle>
    <tableStyle count="2" pivot="0" name="BOGOTA-style 177">
      <tableStyleElement dxfId="1" type="firstRowStripe"/>
      <tableStyleElement dxfId="2" type="secondRowStripe"/>
    </tableStyle>
    <tableStyle count="2" pivot="0" name="BOGOTA-style 178">
      <tableStyleElement dxfId="1" type="firstRowStripe"/>
      <tableStyleElement dxfId="2" type="secondRowStripe"/>
    </tableStyle>
    <tableStyle count="2" pivot="0" name="BOGOTA-style 179">
      <tableStyleElement dxfId="1" type="firstRowStripe"/>
      <tableStyleElement dxfId="2" type="secondRowStripe"/>
    </tableStyle>
    <tableStyle count="2" pivot="0" name="BOGOTA-style 180">
      <tableStyleElement dxfId="1" type="firstRowStripe"/>
      <tableStyleElement dxfId="2" type="secondRowStripe"/>
    </tableStyle>
    <tableStyle count="2" pivot="0" name="BOGOTA-style 181">
      <tableStyleElement dxfId="1" type="firstRowStripe"/>
      <tableStyleElement dxfId="2" type="secondRowStripe"/>
    </tableStyle>
    <tableStyle count="2" pivot="0" name="BOGOTA-style 182">
      <tableStyleElement dxfId="1" type="firstRowStripe"/>
      <tableStyleElement dxfId="2" type="secondRowStripe"/>
    </tableStyle>
    <tableStyle count="2" pivot="0" name="BOGOTA-style 183">
      <tableStyleElement dxfId="2" type="firstRowStripe"/>
      <tableStyleElement dxfId="1" type="secondRowStripe"/>
    </tableStyle>
    <tableStyle count="2" pivot="0" name="BOGOTA-style 184">
      <tableStyleElement dxfId="2" type="firstRowStripe"/>
      <tableStyleElement dxfId="1" type="secondRowStripe"/>
    </tableStyle>
    <tableStyle count="2" pivot="0" name="BOGOTA-style 185">
      <tableStyleElement dxfId="1" type="firstRowStripe"/>
      <tableStyleElement dxfId="2" type="secondRowStripe"/>
    </tableStyle>
    <tableStyle count="2" pivot="0" name="BOGOTA-style 186">
      <tableStyleElement dxfId="1" type="firstRowStripe"/>
      <tableStyleElement dxfId="2" type="secondRowStripe"/>
    </tableStyle>
    <tableStyle count="2" pivot="0" name="BOGOTA-style 187">
      <tableStyleElement dxfId="1" type="firstRowStripe"/>
      <tableStyleElement dxfId="2" type="secondRowStripe"/>
    </tableStyle>
    <tableStyle count="2" pivot="0" name="BOGOTA-style 188">
      <tableStyleElement dxfId="1" type="firstRowStripe"/>
      <tableStyleElement dxfId="2" type="secondRowStripe"/>
    </tableStyle>
    <tableStyle count="2" pivot="0" name="BOGOTA-style 189">
      <tableStyleElement dxfId="1" type="firstRowStripe"/>
      <tableStyleElement dxfId="2" type="secondRowStripe"/>
    </tableStyle>
    <tableStyle count="2" pivot="0" name="BOGOTA-style 190">
      <tableStyleElement dxfId="1" type="firstRowStripe"/>
      <tableStyleElement dxfId="2" type="secondRowStripe"/>
    </tableStyle>
    <tableStyle count="2" pivot="0" name="BOGOTA-style 191">
      <tableStyleElement dxfId="1" type="firstRowStripe"/>
      <tableStyleElement dxfId="2" type="secondRowStripe"/>
    </tableStyle>
    <tableStyle count="2" pivot="0" name="BOGOTA-style 192">
      <tableStyleElement dxfId="1" type="firstRowStripe"/>
      <tableStyleElement dxfId="2" type="secondRowStripe"/>
    </tableStyle>
    <tableStyle count="2" pivot="0" name="BOGOTA-style 193">
      <tableStyleElement dxfId="2" type="firstRowStripe"/>
      <tableStyleElement dxfId="1" type="secondRowStripe"/>
    </tableStyle>
    <tableStyle count="2" pivot="0" name="BOGOTA-style 194">
      <tableStyleElement dxfId="1" type="firstRowStripe"/>
      <tableStyleElement dxfId="2" type="secondRowStripe"/>
    </tableStyle>
    <tableStyle count="2" pivot="0" name="BOGOTA-style 195">
      <tableStyleElement dxfId="1" type="firstRowStripe"/>
      <tableStyleElement dxfId="2" type="secondRowStripe"/>
    </tableStyle>
    <tableStyle count="2" pivot="0" name="BOGOTA-style 196">
      <tableStyleElement dxfId="2" type="firstRowStripe"/>
      <tableStyleElement dxfId="1" type="secondRowStripe"/>
    </tableStyle>
    <tableStyle count="2" pivot="0" name="BOGOTA-style 197">
      <tableStyleElement dxfId="2" type="firstRowStripe"/>
      <tableStyleElement dxfId="1" type="secondRowStripe"/>
    </tableStyle>
    <tableStyle count="2" pivot="0" name="BOGOTA-style 198">
      <tableStyleElement dxfId="2" type="firstRowStripe"/>
      <tableStyleElement dxfId="1" type="secondRowStripe"/>
    </tableStyle>
    <tableStyle count="2" pivot="0" name="BOGOTA-style 199">
      <tableStyleElement dxfId="2" type="firstRowStripe"/>
      <tableStyleElement dxfId="1" type="secondRowStripe"/>
    </tableStyle>
    <tableStyle count="2" pivot="0" name="BOGOTA-style 200">
      <tableStyleElement dxfId="2" type="firstRowStripe"/>
      <tableStyleElement dxfId="1" type="secondRowStripe"/>
    </tableStyle>
    <tableStyle count="2" pivot="0" name="BOGOTA-style 201">
      <tableStyleElement dxfId="2" type="firstRowStripe"/>
      <tableStyleElement dxfId="1" type="secondRowStripe"/>
    </tableStyle>
    <tableStyle count="2" pivot="0" name="BOGOTA-style 202">
      <tableStyleElement dxfId="2" type="firstRowStripe"/>
      <tableStyleElement dxfId="1" type="secondRowStripe"/>
    </tableStyle>
    <tableStyle count="2" pivot="0" name="BOGOTA-style 203">
      <tableStyleElement dxfId="2" type="firstRowStripe"/>
      <tableStyleElement dxfId="1" type="secondRowStripe"/>
    </tableStyle>
    <tableStyle count="2" pivot="0" name="BOGOTA-style 204">
      <tableStyleElement dxfId="2" type="firstRowStripe"/>
      <tableStyleElement dxfId="1" type="secondRowStripe"/>
    </tableStyle>
    <tableStyle count="2" pivot="0" name="BOGOTA-style 205">
      <tableStyleElement dxfId="1" type="firstRowStripe"/>
      <tableStyleElement dxfId="1" type="secondRowStripe"/>
    </tableStyle>
    <tableStyle count="2" pivot="0" name="BOGOTA-style 206">
      <tableStyleElement dxfId="1" type="firstRowStripe"/>
      <tableStyleElement dxfId="1" type="secondRowStripe"/>
    </tableStyle>
    <tableStyle count="2" pivot="0" name="BOGOTA-style 207">
      <tableStyleElement dxfId="1" type="firstRowStripe"/>
      <tableStyleElement dxfId="1" type="secondRowStripe"/>
    </tableStyle>
    <tableStyle count="2" pivot="0" name="BOGOTA-style 208">
      <tableStyleElement dxfId="1" type="firstRowStripe"/>
      <tableStyleElement dxfId="1" type="secondRowStripe"/>
    </tableStyle>
    <tableStyle count="2" pivot="0" name="BOGOTA-style 209">
      <tableStyleElement dxfId="1" type="firstRowStripe"/>
      <tableStyleElement dxfId="2" type="secondRowStripe"/>
    </tableStyle>
    <tableStyle count="2" pivot="0" name="BOGOTA-style 210">
      <tableStyleElement dxfId="2" type="firstRowStripe"/>
      <tableStyleElement dxfId="1" type="secondRowStripe"/>
    </tableStyle>
    <tableStyle count="2" pivot="0" name="BOGOTA-style 211">
      <tableStyleElement dxfId="1" type="firstRowStripe"/>
      <tableStyleElement dxfId="2" type="secondRowStripe"/>
    </tableStyle>
    <tableStyle count="2" pivot="0" name="BOGOTA-style 212">
      <tableStyleElement dxfId="1" type="firstRowStripe"/>
      <tableStyleElement dxfId="2" type="secondRowStripe"/>
    </tableStyle>
    <tableStyle count="2" pivot="0" name="BOGOTA-style 213">
      <tableStyleElement dxfId="1" type="firstRowStripe"/>
      <tableStyleElement dxfId="1" type="secondRowStripe"/>
    </tableStyle>
    <tableStyle count="2" pivot="0" name="BOGOTA-style 214">
      <tableStyleElement dxfId="1" type="firstRowStripe"/>
      <tableStyleElement dxfId="1" type="secondRowStripe"/>
    </tableStyle>
    <tableStyle count="2" pivot="0" name="BOGOTA-style 215">
      <tableStyleElement dxfId="1" type="firstRowStripe"/>
      <tableStyleElement dxfId="1" type="secondRowStripe"/>
    </tableStyle>
    <tableStyle count="2" pivot="0" name="BOGOTA-style 216">
      <tableStyleElement dxfId="1" type="firstRowStripe"/>
      <tableStyleElement dxfId="1" type="secondRowStripe"/>
    </tableStyle>
    <tableStyle count="2" pivot="0" name="BOGOTA-style 217">
      <tableStyleElement dxfId="1" type="firstRowStripe"/>
      <tableStyleElement dxfId="1" type="secondRowStripe"/>
    </tableStyle>
    <tableStyle count="2" pivot="0" name="BOGOTA-style 218">
      <tableStyleElement dxfId="2" type="firstRowStripe"/>
      <tableStyleElement dxfId="1" type="secondRowStripe"/>
    </tableStyle>
    <tableStyle count="2" pivot="0" name="BOGOTA-style 219">
      <tableStyleElement dxfId="2" type="firstRowStripe"/>
      <tableStyleElement dxfId="1" type="secondRowStripe"/>
    </tableStyle>
    <tableStyle count="2" pivot="0" name="BOGOTA-style 220">
      <tableStyleElement dxfId="2" type="firstRowStripe"/>
      <tableStyleElement dxfId="1" type="secondRowStripe"/>
    </tableStyle>
    <tableStyle count="2" pivot="0" name="BOGOTA-style 221">
      <tableStyleElement dxfId="2" type="firstRowStripe"/>
      <tableStyleElement dxfId="1" type="secondRowStripe"/>
    </tableStyle>
    <tableStyle count="2" pivot="0" name="BOGOTA-style 222">
      <tableStyleElement dxfId="2" type="firstRowStripe"/>
      <tableStyleElement dxfId="1" type="secondRowStripe"/>
    </tableStyle>
    <tableStyle count="2" pivot="0" name="BOGOTA-style 223">
      <tableStyleElement dxfId="2" type="firstRowStripe"/>
      <tableStyleElement dxfId="1" type="secondRowStripe"/>
    </tableStyle>
    <tableStyle count="2" pivot="0" name="BOGOTA-style 224">
      <tableStyleElement dxfId="2" type="firstRowStripe"/>
      <tableStyleElement dxfId="1" type="secondRowStripe"/>
    </tableStyle>
    <tableStyle count="2" pivot="0" name="BOGOTA-style 225">
      <tableStyleElement dxfId="1" type="firstRowStripe"/>
      <tableStyleElement dxfId="2" type="secondRowStripe"/>
    </tableStyle>
    <tableStyle count="2" pivot="0" name="BOGOTA-style 226">
      <tableStyleElement dxfId="2" type="firstRowStripe"/>
      <tableStyleElement dxfId="1" type="secondRowStripe"/>
    </tableStyle>
    <tableStyle count="2" pivot="0" name="BOGOTA-style 227">
      <tableStyleElement dxfId="1" type="firstRowStripe"/>
      <tableStyleElement dxfId="2" type="secondRowStripe"/>
    </tableStyle>
    <tableStyle count="2" pivot="0" name="BOGOTA-style 228">
      <tableStyleElement dxfId="2" type="firstRowStripe"/>
      <tableStyleElement dxfId="1" type="secondRowStripe"/>
    </tableStyle>
    <tableStyle count="2" pivot="0" name="BOGOTA-style 229">
      <tableStyleElement dxfId="2" type="firstRowStripe"/>
      <tableStyleElement dxfId="1" type="secondRowStripe"/>
    </tableStyle>
    <tableStyle count="2" pivot="0" name="BOGOTA-style 230">
      <tableStyleElement dxfId="1" type="firstRowStripe"/>
      <tableStyleElement dxfId="2" type="secondRowStripe"/>
    </tableStyle>
    <tableStyle count="2" pivot="0" name="BOGOTA-style 231">
      <tableStyleElement dxfId="1" type="firstRowStripe"/>
      <tableStyleElement dxfId="2" type="secondRowStripe"/>
    </tableStyle>
    <tableStyle count="2" pivot="0" name="BOGOTA-style 232">
      <tableStyleElement dxfId="1" type="firstRowStripe"/>
      <tableStyleElement dxfId="2" type="secondRowStripe"/>
    </tableStyle>
    <tableStyle count="2" pivot="0" name="BOGOTA-style 233">
      <tableStyleElement dxfId="1" type="firstRowStripe"/>
      <tableStyleElement dxfId="2" type="secondRowStripe"/>
    </tableStyle>
    <tableStyle count="2" pivot="0" name="BOGOTA-style 234">
      <tableStyleElement dxfId="1" type="firstRowStripe"/>
      <tableStyleElement dxfId="2" type="secondRowStripe"/>
    </tableStyle>
    <tableStyle count="2" pivot="0" name="BOGOTA-style 235">
      <tableStyleElement dxfId="2" type="firstRowStripe"/>
      <tableStyleElement dxfId="1" type="secondRowStripe"/>
    </tableStyle>
    <tableStyle count="2" pivot="0" name="BOGOTA-style 236">
      <tableStyleElement dxfId="2" type="firstRowStripe"/>
      <tableStyleElement dxfId="1" type="secondRowStripe"/>
    </tableStyle>
    <tableStyle count="2" pivot="0" name="BOGOTA-style 237">
      <tableStyleElement dxfId="2" type="firstRowStripe"/>
      <tableStyleElement dxfId="1" type="secondRowStripe"/>
    </tableStyle>
    <tableStyle count="2" pivot="0" name="BOGOTA-style 238">
      <tableStyleElement dxfId="1" type="firstRowStripe"/>
      <tableStyleElement dxfId="2" type="secondRowStripe"/>
    </tableStyle>
    <tableStyle count="2" pivot="0" name="BOGOTA-style 239">
      <tableStyleElement dxfId="1" type="firstRowStripe"/>
      <tableStyleElement dxfId="2" type="secondRowStripe"/>
    </tableStyle>
    <tableStyle count="2" pivot="0" name="BOGOTA-style 240">
      <tableStyleElement dxfId="1" type="firstRowStripe"/>
      <tableStyleElement dxfId="2" type="secondRowStripe"/>
    </tableStyle>
    <tableStyle count="2" pivot="0" name="BOGOTA-style 241">
      <tableStyleElement dxfId="1" type="firstRowStripe"/>
      <tableStyleElement dxfId="2" type="secondRowStripe"/>
    </tableStyle>
    <tableStyle count="2" pivot="0" name="BOGOTA-style 242">
      <tableStyleElement dxfId="1" type="firstRowStripe"/>
      <tableStyleElement dxfId="2" type="secondRowStripe"/>
    </tableStyle>
    <tableStyle count="2" pivot="0" name="BOGOTA-style 243">
      <tableStyleElement dxfId="1" type="firstRowStripe"/>
      <tableStyleElement dxfId="2" type="secondRowStripe"/>
    </tableStyle>
    <tableStyle count="2" pivot="0" name="BOGOTA-style 244">
      <tableStyleElement dxfId="1" type="firstRowStripe"/>
      <tableStyleElement dxfId="2" type="secondRowStripe"/>
    </tableStyle>
    <tableStyle count="2" pivot="0" name="BOGOTA-style 245">
      <tableStyleElement dxfId="1" type="firstRowStripe"/>
      <tableStyleElement dxfId="2" type="secondRowStripe"/>
    </tableStyle>
    <tableStyle count="2" pivot="0" name="BOGOTA-style 246">
      <tableStyleElement dxfId="1" type="firstRowStripe"/>
      <tableStyleElement dxfId="2" type="secondRowStripe"/>
    </tableStyle>
    <tableStyle count="2" pivot="0" name="BOGOTA-style 247">
      <tableStyleElement dxfId="2" type="firstRowStripe"/>
      <tableStyleElement dxfId="1" type="secondRowStripe"/>
    </tableStyle>
    <tableStyle count="2" pivot="0" name="BOGOTA-style 248">
      <tableStyleElement dxfId="1" type="firstRowStripe"/>
      <tableStyleElement dxfId="2" type="secondRowStripe"/>
    </tableStyle>
    <tableStyle count="2" pivot="0" name="BOGOTA-style 249">
      <tableStyleElement dxfId="1" type="firstRowStripe"/>
      <tableStyleElement dxfId="2" type="secondRowStripe"/>
    </tableStyle>
    <tableStyle count="2" pivot="0" name="BOGOTA-style 250">
      <tableStyleElement dxfId="2" type="firstRowStripe"/>
      <tableStyleElement dxfId="1" type="secondRowStripe"/>
    </tableStyle>
    <tableStyle count="2" pivot="0" name="BOGOTA-style 251">
      <tableStyleElement dxfId="1" type="firstRowStripe"/>
      <tableStyleElement dxfId="2" type="secondRowStripe"/>
    </tableStyle>
    <tableStyle count="2" pivot="0" name="BOGOTA-style 252">
      <tableStyleElement dxfId="2" type="firstRowStripe"/>
      <tableStyleElement dxfId="1" type="secondRowStripe"/>
    </tableStyle>
    <tableStyle count="2" pivot="0" name="BOGOTA-style 253">
      <tableStyleElement dxfId="1" type="firstRowStripe"/>
      <tableStyleElement dxfId="2" type="secondRowStripe"/>
    </tableStyle>
    <tableStyle count="2" pivot="0" name="BOGOTA-style 254">
      <tableStyleElement dxfId="2" type="firstRowStripe"/>
      <tableStyleElement dxfId="1" type="secondRowStripe"/>
    </tableStyle>
    <tableStyle count="2" pivot="0" name="BOGOTA-style 255">
      <tableStyleElement dxfId="2" type="firstRowStripe"/>
      <tableStyleElement dxfId="1" type="secondRowStripe"/>
    </tableStyle>
    <tableStyle count="2" pivot="0" name="BOGOTA-style 256">
      <tableStyleElement dxfId="1" type="firstRowStripe"/>
      <tableStyleElement dxfId="2" type="secondRowStripe"/>
    </tableStyle>
    <tableStyle count="2" pivot="0" name="BOGOTA-style 257">
      <tableStyleElement dxfId="1" type="firstRowStripe"/>
      <tableStyleElement dxfId="1" type="secondRowStripe"/>
    </tableStyle>
    <tableStyle count="2" pivot="0" name="BOGOTA-style 258">
      <tableStyleElement dxfId="1" type="firstRowStripe"/>
      <tableStyleElement dxfId="2" type="secondRowStripe"/>
    </tableStyle>
    <tableStyle count="2" pivot="0" name="BOGOTA-style 259">
      <tableStyleElement dxfId="1" type="firstRowStripe"/>
      <tableStyleElement dxfId="2" type="secondRowStripe"/>
    </tableStyle>
    <tableStyle count="2" pivot="0" name="BOGOTA-style 260">
      <tableStyleElement dxfId="1" type="firstRowStripe"/>
      <tableStyleElement dxfId="2" type="secondRowStripe"/>
    </tableStyle>
    <tableStyle count="2" pivot="0" name="BOGOTA-style 261">
      <tableStyleElement dxfId="2" type="firstRowStripe"/>
      <tableStyleElement dxfId="1" type="secondRowStripe"/>
    </tableStyle>
    <tableStyle count="2" pivot="0" name="BOGOTA-style 262">
      <tableStyleElement dxfId="1" type="firstRowStripe"/>
      <tableStyleElement dxfId="2" type="secondRowStripe"/>
    </tableStyle>
    <tableStyle count="2" pivot="0" name="BOGOTA-style 263">
      <tableStyleElement dxfId="1" type="firstRowStripe"/>
      <tableStyleElement dxfId="2" type="secondRowStripe"/>
    </tableStyle>
    <tableStyle count="2" pivot="0" name="BOGOTA-style 264">
      <tableStyleElement dxfId="2" type="firstRowStripe"/>
      <tableStyleElement dxfId="1" type="secondRowStripe"/>
    </tableStyle>
    <tableStyle count="2" pivot="0" name="BOGOTA-style 265">
      <tableStyleElement dxfId="1" type="firstRowStripe"/>
      <tableStyleElement dxfId="2" type="secondRowStripe"/>
    </tableStyle>
    <tableStyle count="2" pivot="0" name="BOGOTA-style 266">
      <tableStyleElement dxfId="1" type="firstRowStripe"/>
      <tableStyleElement dxfId="2" type="secondRowStripe"/>
    </tableStyle>
    <tableStyle count="2" pivot="0" name="BOGOTA-style 267">
      <tableStyleElement dxfId="2" type="firstRowStripe"/>
      <tableStyleElement dxfId="1" type="secondRowStripe"/>
    </tableStyle>
    <tableStyle count="2" pivot="0" name="BOGOTA-style 268">
      <tableStyleElement dxfId="2" type="firstRowStripe"/>
      <tableStyleElement dxfId="1" type="secondRowStripe"/>
    </tableStyle>
    <tableStyle count="2" pivot="0" name="BOGOTA-style 269">
      <tableStyleElement dxfId="2" type="firstRowStripe"/>
      <tableStyleElement dxfId="1" type="secondRowStripe"/>
    </tableStyle>
    <tableStyle count="2" pivot="0" name="BOGOTA-style 270">
      <tableStyleElement dxfId="2" type="firstRowStripe"/>
      <tableStyleElement dxfId="1" type="secondRowStripe"/>
    </tableStyle>
    <tableStyle count="2" pivot="0" name="BOGOTA-style 271">
      <tableStyleElement dxfId="2" type="firstRowStripe"/>
      <tableStyleElement dxfId="1" type="secondRowStripe"/>
    </tableStyle>
    <tableStyle count="2" pivot="0" name="BOGOTA-style 272">
      <tableStyleElement dxfId="2" type="firstRowStripe"/>
      <tableStyleElement dxfId="1" type="secondRowStripe"/>
    </tableStyle>
    <tableStyle count="2" pivot="0" name="BOGOTA-style 273">
      <tableStyleElement dxfId="1" type="firstRowStripe"/>
      <tableStyleElement dxfId="2" type="secondRowStripe"/>
    </tableStyle>
    <tableStyle count="2" pivot="0" name="BOGOTA-style 274">
      <tableStyleElement dxfId="1" type="firstRowStripe"/>
      <tableStyleElement dxfId="2" type="secondRowStripe"/>
    </tableStyle>
    <tableStyle count="2" pivot="0" name="BOGOTA-style 275">
      <tableStyleElement dxfId="2" type="firstRowStripe"/>
      <tableStyleElement dxfId="1" type="secondRowStripe"/>
    </tableStyle>
    <tableStyle count="2" pivot="0" name="BOGOTA-style 276">
      <tableStyleElement dxfId="1" type="firstRowStripe"/>
      <tableStyleElement dxfId="2" type="secondRowStripe"/>
    </tableStyle>
    <tableStyle count="2" pivot="0" name="BOGOTA-style 277">
      <tableStyleElement dxfId="1" type="firstRowStripe"/>
      <tableStyleElement dxfId="2" type="secondRowStripe"/>
    </tableStyle>
    <tableStyle count="2" pivot="0" name="BOGOTA-style 278">
      <tableStyleElement dxfId="1" type="firstRowStripe"/>
      <tableStyleElement dxfId="2" type="secondRowStripe"/>
    </tableStyle>
    <tableStyle count="2" pivot="0" name="BOGOTA-style 279">
      <tableStyleElement dxfId="2" type="firstRowStripe"/>
      <tableStyleElement dxfId="1" type="secondRowStripe"/>
    </tableStyle>
    <tableStyle count="2" pivot="0" name="BOGOTA-style 280">
      <tableStyleElement dxfId="2" type="firstRowStripe"/>
      <tableStyleElement dxfId="1" type="secondRowStripe"/>
    </tableStyle>
    <tableStyle count="2" pivot="0" name="BOGOTA-style 281">
      <tableStyleElement dxfId="2" type="firstRowStripe"/>
      <tableStyleElement dxfId="1" type="secondRowStripe"/>
    </tableStyle>
    <tableStyle count="2" pivot="0" name="BOGOTA-style 282">
      <tableStyleElement dxfId="1" type="firstRowStripe"/>
      <tableStyleElement dxfId="2" type="secondRowStripe"/>
    </tableStyle>
    <tableStyle count="2" pivot="0" name="BOGOTA-style 283">
      <tableStyleElement dxfId="1" type="firstRowStripe"/>
      <tableStyleElement dxfId="2" type="secondRowStripe"/>
    </tableStyle>
    <tableStyle count="2" pivot="0" name="BOGOTA-style 284">
      <tableStyleElement dxfId="2" type="firstRowStripe"/>
      <tableStyleElement dxfId="1" type="secondRowStripe"/>
    </tableStyle>
    <tableStyle count="2" pivot="0" name="BOGOTA-style 285">
      <tableStyleElement dxfId="2" type="firstRowStripe"/>
      <tableStyleElement dxfId="1" type="secondRowStripe"/>
    </tableStyle>
    <tableStyle count="2" pivot="0" name="BOGOTA-style 286">
      <tableStyleElement dxfId="2" type="firstRowStripe"/>
      <tableStyleElement dxfId="1" type="secondRowStripe"/>
    </tableStyle>
    <tableStyle count="2" pivot="0" name="BOGOTA-style 287">
      <tableStyleElement dxfId="1" type="firstRowStripe"/>
      <tableStyleElement dxfId="2" type="secondRowStripe"/>
    </tableStyle>
    <tableStyle count="2" pivot="0" name="BOGOTA-style 288">
      <tableStyleElement dxfId="1" type="firstRowStripe"/>
      <tableStyleElement dxfId="2" type="secondRowStripe"/>
    </tableStyle>
    <tableStyle count="2" pivot="0" name="BOGOTA-style 289">
      <tableStyleElement dxfId="1" type="firstRowStripe"/>
      <tableStyleElement dxfId="2" type="secondRowStripe"/>
    </tableStyle>
    <tableStyle count="2" pivot="0" name="BOGOTA-style 290">
      <tableStyleElement dxfId="2" type="firstRowStripe"/>
      <tableStyleElement dxfId="1" type="secondRowStripe"/>
    </tableStyle>
    <tableStyle count="2" pivot="0" name="BOGOTA-style 291">
      <tableStyleElement dxfId="1" type="firstRowStripe"/>
      <tableStyleElement dxfId="2" type="secondRowStripe"/>
    </tableStyle>
    <tableStyle count="2" pivot="0" name="BOGOTA-style 292">
      <tableStyleElement dxfId="2" type="firstRowStripe"/>
      <tableStyleElement dxfId="1" type="secondRowStripe"/>
    </tableStyle>
    <tableStyle count="2" pivot="0" name="BOGOTA-style 293">
      <tableStyleElement dxfId="2" type="firstRowStripe"/>
      <tableStyleElement dxfId="1" type="secondRowStripe"/>
    </tableStyle>
    <tableStyle count="2" pivot="0" name="BOGOTA-style 294">
      <tableStyleElement dxfId="1" type="firstRowStripe"/>
      <tableStyleElement dxfId="2" type="secondRowStripe"/>
    </tableStyle>
    <tableStyle count="2" pivot="0" name="BOGOTA-style 295">
      <tableStyleElement dxfId="1" type="firstRowStripe"/>
      <tableStyleElement dxfId="2" type="secondRowStripe"/>
    </tableStyle>
    <tableStyle count="2" pivot="0" name="BOGOTA-style 296">
      <tableStyleElement dxfId="1" type="firstRowStripe"/>
      <tableStyleElement dxfId="2" type="secondRowStripe"/>
    </tableStyle>
    <tableStyle count="2" pivot="0" name="BOGOTA-style 297">
      <tableStyleElement dxfId="2" type="firstRowStripe"/>
      <tableStyleElement dxfId="1" type="secondRowStripe"/>
    </tableStyle>
    <tableStyle count="2" pivot="0" name="BOGOTA-style 298">
      <tableStyleElement dxfId="1" type="firstRowStripe"/>
      <tableStyleElement dxfId="1" type="secondRowStripe"/>
    </tableStyle>
    <tableStyle count="2" pivot="0" name="BOGOTA-style 299">
      <tableStyleElement dxfId="1" type="firstRowStripe"/>
      <tableStyleElement dxfId="2" type="secondRowStripe"/>
    </tableStyle>
    <tableStyle count="2" pivot="0" name="BOGOTA-style 300">
      <tableStyleElement dxfId="1" type="firstRowStripe"/>
      <tableStyleElement dxfId="2" type="secondRowStripe"/>
    </tableStyle>
    <tableStyle count="2" pivot="0" name="BOGOTA-style 301">
      <tableStyleElement dxfId="1" type="firstRowStripe"/>
      <tableStyleElement dxfId="2" type="secondRowStripe"/>
    </tableStyle>
    <tableStyle count="2" pivot="0" name="BOGOTA-style 302">
      <tableStyleElement dxfId="1" type="firstRowStripe"/>
      <tableStyleElement dxfId="2" type="secondRowStripe"/>
    </tableStyle>
    <tableStyle count="2" pivot="0" name="BOGOTA-style 303">
      <tableStyleElement dxfId="1" type="firstRowStripe"/>
      <tableStyleElement dxfId="2" type="secondRowStripe"/>
    </tableStyle>
    <tableStyle count="2" pivot="0" name="BOGOTA-style 304">
      <tableStyleElement dxfId="1" type="firstRowStripe"/>
      <tableStyleElement dxfId="2" type="secondRowStripe"/>
    </tableStyle>
    <tableStyle count="2" pivot="0" name="BOGOTA-style 305">
      <tableStyleElement dxfId="1" type="firstRowStripe"/>
      <tableStyleElement dxfId="2" type="secondRowStripe"/>
    </tableStyle>
    <tableStyle count="2" pivot="0" name="BOGOTA-style 306">
      <tableStyleElement dxfId="1" type="firstRowStripe"/>
      <tableStyleElement dxfId="2" type="secondRowStripe"/>
    </tableStyle>
    <tableStyle count="2" pivot="0" name="BOGOTA-style 307">
      <tableStyleElement dxfId="1" type="firstRowStripe"/>
      <tableStyleElement dxfId="2" type="secondRowStripe"/>
    </tableStyle>
    <tableStyle count="2" pivot="0" name="BOGOTA-style 308">
      <tableStyleElement dxfId="1" type="firstRowStripe"/>
      <tableStyleElement dxfId="2" type="secondRowStripe"/>
    </tableStyle>
    <tableStyle count="2" pivot="0" name="BOGOTA-style 309">
      <tableStyleElement dxfId="1" type="firstRowStripe"/>
      <tableStyleElement dxfId="2" type="secondRowStripe"/>
    </tableStyle>
    <tableStyle count="2" pivot="0" name="BOGOTA-style 310">
      <tableStyleElement dxfId="2" type="firstRowStripe"/>
      <tableStyleElement dxfId="1" type="secondRowStripe"/>
    </tableStyle>
    <tableStyle count="2" pivot="0" name="BOGOTA-style 311">
      <tableStyleElement dxfId="2" type="firstRowStripe"/>
      <tableStyleElement dxfId="1" type="secondRowStripe"/>
    </tableStyle>
    <tableStyle count="2" pivot="0" name="BOGOTA-style 312">
      <tableStyleElement dxfId="2" type="firstRowStripe"/>
      <tableStyleElement dxfId="1" type="secondRowStripe"/>
    </tableStyle>
    <tableStyle count="2" pivot="0" name="BOGOTA-style 313">
      <tableStyleElement dxfId="1" type="firstRowStripe"/>
      <tableStyleElement dxfId="2" type="secondRowStripe"/>
    </tableStyle>
    <tableStyle count="2" pivot="0" name="BOGOTA-style 314">
      <tableStyleElement dxfId="1" type="firstRowStripe"/>
      <tableStyleElement dxfId="2" type="secondRowStripe"/>
    </tableStyle>
    <tableStyle count="2" pivot="0" name="BOGOTA-style 315">
      <tableStyleElement dxfId="2" type="firstRowStripe"/>
      <tableStyleElement dxfId="1" type="secondRowStripe"/>
    </tableStyle>
    <tableStyle count="2" pivot="0" name="BOGOTA-style 316">
      <tableStyleElement dxfId="1" type="firstRowStripe"/>
      <tableStyleElement dxfId="2" type="secondRowStripe"/>
    </tableStyle>
    <tableStyle count="2" pivot="0" name="BOGOTA-style 317">
      <tableStyleElement dxfId="1" type="firstRowStripe"/>
      <tableStyleElement dxfId="2" type="secondRowStripe"/>
    </tableStyle>
    <tableStyle count="2" pivot="0" name="BOGOTA-style 318">
      <tableStyleElement dxfId="1" type="firstRowStripe"/>
      <tableStyleElement dxfId="2" type="secondRowStripe"/>
    </tableStyle>
    <tableStyle count="2" pivot="0" name="BOGOTA-style 319">
      <tableStyleElement dxfId="1" type="firstRowStripe"/>
      <tableStyleElement dxfId="2" type="secondRowStripe"/>
    </tableStyle>
    <tableStyle count="2" pivot="0" name="BOGOTA-style 320">
      <tableStyleElement dxfId="2" type="firstRowStripe"/>
      <tableStyleElement dxfId="1" type="secondRowStripe"/>
    </tableStyle>
    <tableStyle count="2" pivot="0" name="BOGOTA-style 321">
      <tableStyleElement dxfId="2" type="firstRowStripe"/>
      <tableStyleElement dxfId="1" type="secondRowStripe"/>
    </tableStyle>
    <tableStyle count="2" pivot="0" name="BOGOTA-style 322">
      <tableStyleElement dxfId="1" type="firstRowStripe"/>
      <tableStyleElement dxfId="2" type="secondRowStripe"/>
    </tableStyle>
    <tableStyle count="2" pivot="0" name="BOGOTA-style 323">
      <tableStyleElement dxfId="2" type="firstRowStripe"/>
      <tableStyleElement dxfId="1" type="secondRowStripe"/>
    </tableStyle>
    <tableStyle count="2" pivot="0" name="BOGOTA-style 324">
      <tableStyleElement dxfId="1" type="firstRowStripe"/>
      <tableStyleElement dxfId="2" type="secondRowStripe"/>
    </tableStyle>
    <tableStyle count="2" pivot="0" name="BOGOTA-style 325">
      <tableStyleElement dxfId="1" type="firstRowStripe"/>
      <tableStyleElement dxfId="2" type="secondRowStripe"/>
    </tableStyle>
    <tableStyle count="2" pivot="0" name="BOGOTA-style 326">
      <tableStyleElement dxfId="1" type="firstRowStripe"/>
      <tableStyleElement dxfId="2" type="secondRowStripe"/>
    </tableStyle>
    <tableStyle count="2" pivot="0" name="BOGOTA-style 327">
      <tableStyleElement dxfId="2" type="firstRowStripe"/>
      <tableStyleElement dxfId="1" type="secondRowStripe"/>
    </tableStyle>
    <tableStyle count="2" pivot="0" name="BOGOTA-style 328">
      <tableStyleElement dxfId="2" type="firstRowStripe"/>
      <tableStyleElement dxfId="1" type="secondRowStripe"/>
    </tableStyle>
    <tableStyle count="2" pivot="0" name="BOGOTA-style 329">
      <tableStyleElement dxfId="2" type="firstRowStripe"/>
      <tableStyleElement dxfId="1" type="secondRowStripe"/>
    </tableStyle>
    <tableStyle count="2" pivot="0" name="BOGOTA-style 330">
      <tableStyleElement dxfId="2" type="firstRowStripe"/>
      <tableStyleElement dxfId="1" type="secondRowStripe"/>
    </tableStyle>
    <tableStyle count="2" pivot="0" name="BOGOTA-style 331">
      <tableStyleElement dxfId="1" type="firstRowStripe"/>
      <tableStyleElement dxfId="2" type="secondRowStripe"/>
    </tableStyle>
    <tableStyle count="2" pivot="0" name="BOGOTA-style 332">
      <tableStyleElement dxfId="1" type="firstRowStripe"/>
      <tableStyleElement dxfId="2" type="secondRowStripe"/>
    </tableStyle>
    <tableStyle count="2" pivot="0" name="BOGOTA-style 333">
      <tableStyleElement dxfId="2" type="firstRowStripe"/>
      <tableStyleElement dxfId="1" type="secondRowStripe"/>
    </tableStyle>
    <tableStyle count="2" pivot="0" name="BOGOTA-style 334">
      <tableStyleElement dxfId="2" type="firstRowStripe"/>
      <tableStyleElement dxfId="1" type="secondRowStripe"/>
    </tableStyle>
    <tableStyle count="2" pivot="0" name="BOGOTA-style 335">
      <tableStyleElement dxfId="2" type="firstRowStripe"/>
      <tableStyleElement dxfId="1" type="secondRowStripe"/>
    </tableStyle>
    <tableStyle count="2" pivot="0" name="BOGOTA-style 336">
      <tableStyleElement dxfId="2" type="firstRowStripe"/>
      <tableStyleElement dxfId="1" type="secondRowStripe"/>
    </tableStyle>
    <tableStyle count="2" pivot="0" name="BOGOTA-style 337">
      <tableStyleElement dxfId="2" type="firstRowStripe"/>
      <tableStyleElement dxfId="1" type="secondRowStripe"/>
    </tableStyle>
    <tableStyle count="2" pivot="0" name="BOGOTA-style 338">
      <tableStyleElement dxfId="2" type="firstRowStripe"/>
      <tableStyleElement dxfId="1" type="secondRowStripe"/>
    </tableStyle>
    <tableStyle count="2" pivot="0" name="BOGOTA-style 339">
      <tableStyleElement dxfId="1" type="firstRowStripe"/>
      <tableStyleElement dxfId="2" type="secondRowStripe"/>
    </tableStyle>
    <tableStyle count="2" pivot="0" name="BOGOTA-style 340">
      <tableStyleElement dxfId="1" type="firstRowStripe"/>
      <tableStyleElement dxfId="2" type="secondRowStripe"/>
    </tableStyle>
    <tableStyle count="2" pivot="0" name="BOGOTA-style 341">
      <tableStyleElement dxfId="2" type="firstRowStripe"/>
      <tableStyleElement dxfId="1" type="secondRowStripe"/>
    </tableStyle>
    <tableStyle count="2" pivot="0" name="BOGOTA-style 342">
      <tableStyleElement dxfId="1" type="firstRowStripe"/>
      <tableStyleElement dxfId="2" type="secondRowStripe"/>
    </tableStyle>
    <tableStyle count="2" pivot="0" name="BOGOTA-style 343">
      <tableStyleElement dxfId="2" type="firstRowStripe"/>
      <tableStyleElement dxfId="1" type="secondRowStripe"/>
    </tableStyle>
    <tableStyle count="2" pivot="0" name="BOGOTA-style 344">
      <tableStyleElement dxfId="2" type="firstRowStripe"/>
      <tableStyleElement dxfId="1" type="secondRowStripe"/>
    </tableStyle>
    <tableStyle count="2" pivot="0" name="BOGOTA-style 345">
      <tableStyleElement dxfId="2" type="firstRowStripe"/>
      <tableStyleElement dxfId="1" type="secondRowStripe"/>
    </tableStyle>
    <tableStyle count="2" pivot="0" name="BOGOTA-style 346">
      <tableStyleElement dxfId="1" type="firstRowStripe"/>
      <tableStyleElement dxfId="2" type="secondRowStripe"/>
    </tableStyle>
    <tableStyle count="2" pivot="0" name="BOGOTA-style 347">
      <tableStyleElement dxfId="2" type="firstRowStripe"/>
      <tableStyleElement dxfId="1" type="secondRowStripe"/>
    </tableStyle>
    <tableStyle count="2" pivot="0" name="BOGOTA-style 348">
      <tableStyleElement dxfId="1" type="firstRowStripe"/>
      <tableStyleElement dxfId="2" type="secondRowStripe"/>
    </tableStyle>
    <tableStyle count="2" pivot="0" name="BOGOTA-style 349">
      <tableStyleElement dxfId="1" type="firstRowStripe"/>
      <tableStyleElement dxfId="2" type="secondRowStripe"/>
    </tableStyle>
    <tableStyle count="2" pivot="0" name="BOGOTA-style 350">
      <tableStyleElement dxfId="1" type="firstRowStripe"/>
      <tableStyleElement dxfId="2" type="secondRowStripe"/>
    </tableStyle>
    <tableStyle count="2" pivot="0" name="BOGOTA-style 351">
      <tableStyleElement dxfId="1" type="firstRowStripe"/>
      <tableStyleElement dxfId="2" type="secondRowStripe"/>
    </tableStyle>
    <tableStyle count="2" pivot="0" name="BOGOTA-style 352">
      <tableStyleElement dxfId="2" type="firstRowStripe"/>
      <tableStyleElement dxfId="1" type="secondRowStripe"/>
    </tableStyle>
    <tableStyle count="2" pivot="0" name="BOGOTA-style 353">
      <tableStyleElement dxfId="2" type="firstRowStripe"/>
      <tableStyleElement dxfId="1" type="secondRowStripe"/>
    </tableStyle>
    <tableStyle count="2" pivot="0" name="BOGOTA-style 354">
      <tableStyleElement dxfId="1" type="firstRowStripe"/>
      <tableStyleElement dxfId="2" type="secondRowStripe"/>
    </tableStyle>
    <tableStyle count="2" pivot="0" name="BOGOTA-style 355">
      <tableStyleElement dxfId="1" type="firstRowStripe"/>
      <tableStyleElement dxfId="2" type="secondRowStripe"/>
    </tableStyle>
    <tableStyle count="2" pivot="0" name="BOGOTA-style 356">
      <tableStyleElement dxfId="1" type="firstRowStripe"/>
      <tableStyleElement dxfId="2" type="secondRowStripe"/>
    </tableStyle>
    <tableStyle count="2" pivot="0" name="BOGOTA-style 357">
      <tableStyleElement dxfId="1" type="firstRowStripe"/>
      <tableStyleElement dxfId="2" type="secondRowStripe"/>
    </tableStyle>
    <tableStyle count="2" pivot="0" name="BOGOTA-style 358">
      <tableStyleElement dxfId="2" type="firstRowStripe"/>
      <tableStyleElement dxfId="1" type="secondRowStripe"/>
    </tableStyle>
    <tableStyle count="2" pivot="0" name="BOGOTA-style 359">
      <tableStyleElement dxfId="2" type="firstRowStripe"/>
      <tableStyleElement dxfId="1" type="secondRowStripe"/>
    </tableStyle>
    <tableStyle count="2" pivot="0" name="BOGOTA-style 360">
      <tableStyleElement dxfId="1" type="firstRowStripe"/>
      <tableStyleElement dxfId="2" type="secondRowStripe"/>
    </tableStyle>
    <tableStyle count="2" pivot="0" name="BOGOTA-style 361">
      <tableStyleElement dxfId="1" type="firstRowStripe"/>
      <tableStyleElement dxfId="2" type="secondRowStripe"/>
    </tableStyle>
    <tableStyle count="2" pivot="0" name="BOGOTA-style 362">
      <tableStyleElement dxfId="1" type="firstRowStripe"/>
      <tableStyleElement dxfId="2" type="secondRowStripe"/>
    </tableStyle>
    <tableStyle count="2" pivot="0" name="BOGOTA-style 363">
      <tableStyleElement dxfId="1" type="firstRowStripe"/>
      <tableStyleElement dxfId="2" type="secondRowStripe"/>
    </tableStyle>
    <tableStyle count="2" pivot="0" name="BOGOTA-style 364">
      <tableStyleElement dxfId="2" type="firstRowStripe"/>
      <tableStyleElement dxfId="1" type="secondRowStripe"/>
    </tableStyle>
    <tableStyle count="2" pivot="0" name="BOGOTA-style 36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3:D16" displayName="Table_1" name="Table_1" id="1">
  <tableColumns count="2">
    <tableColumn name="Column1" id="1"/>
    <tableColumn name="Column2" id="2"/>
  </tableColumns>
  <tableStyleInfo name="VILLAVICENCIO-style" showColumnStripes="0" showFirstColumn="1" showLastColumn="1" showRowStripes="1"/>
</table>
</file>

<file path=xl/tables/table2.xml><?xml version="1.0" encoding="utf-8"?>
<table xmlns="http://schemas.openxmlformats.org/spreadsheetml/2006/main" headerRowCount="0" ref="C27:D29" displayName="Table_2" name="Table_2" id="2">
  <tableColumns count="2">
    <tableColumn name="Column1" id="1"/>
    <tableColumn name="Column2" id="2"/>
  </tableColumns>
  <tableStyleInfo name="VILLAVICENCIO-style 2" showColumnStripes="0" showFirstColumn="1" showLastColumn="1" showRowStripes="1"/>
</table>
</file>

<file path=xl/tables/table3.xml><?xml version="1.0" encoding="utf-8"?>
<table xmlns="http://schemas.openxmlformats.org/spreadsheetml/2006/main" headerRowCount="0" ref="C50:D51" displayName="Table_3" name="Table_3" id="3">
  <tableColumns count="2">
    <tableColumn name="Column1" id="1"/>
    <tableColumn name="Column2" id="2"/>
  </tableColumns>
  <tableStyleInfo name="VILLAVICENCIO-style 3" showColumnStripes="0" showFirstColumn="1" showLastColumn="1" showRowStripes="1"/>
</table>
</file>

<file path=xl/tables/table4.xml><?xml version="1.0" encoding="utf-8"?>
<table xmlns="http://schemas.openxmlformats.org/spreadsheetml/2006/main" headerRowCount="0" ref="C52:D52" displayName="Table_4" name="Table_4" id="4">
  <tableColumns count="2">
    <tableColumn name="Column1" id="1"/>
    <tableColumn name="Column2" id="2"/>
  </tableColumns>
  <tableStyleInfo name="VILLAVICENCIO-style 4" showColumnStripes="0" showFirstColumn="1" showLastColumn="1" showRowStripes="1"/>
</table>
</file>

<file path=xl/tables/table5.xml><?xml version="1.0" encoding="utf-8"?>
<table xmlns="http://schemas.openxmlformats.org/spreadsheetml/2006/main" headerRowCount="0" ref="C54:D54" displayName="Table_5" name="Table_5" id="5">
  <tableColumns count="2">
    <tableColumn name="Column1" id="1"/>
    <tableColumn name="Column2" id="2"/>
  </tableColumns>
  <tableStyleInfo name="VILLAVICENCIO-style 5" showColumnStripes="0" showFirstColumn="1" showLastColumn="1" showRowStripes="1"/>
</table>
</file>

<file path=xl/tables/table6.xml><?xml version="1.0" encoding="utf-8"?>
<table xmlns="http://schemas.openxmlformats.org/spreadsheetml/2006/main" headerRowCount="0" ref="N54" displayName="Table_6" name="Table_6" id="6">
  <tableColumns count="1">
    <tableColumn name="Column1" id="1"/>
  </tableColumns>
  <tableStyleInfo name="VILLAVICENCIO-style 6" showColumnStripes="0" showFirstColumn="1" showLastColumn="1" showRowStripes="1"/>
</table>
</file>

<file path=xl/tables/table7.xml><?xml version="1.0" encoding="utf-8"?>
<table xmlns="http://schemas.openxmlformats.org/spreadsheetml/2006/main" headerRowCount="0" ref="C55:D55" displayName="Table_7" name="Table_7" id="7">
  <tableColumns count="2">
    <tableColumn name="Column1" id="1"/>
    <tableColumn name="Column2" id="2"/>
  </tableColumns>
  <tableStyleInfo name="VILLAVICENCIO-style 7" showColumnStripes="0" showFirstColumn="1" showLastColumn="1" showRowStripes="1"/>
</table>
</file>

<file path=xl/tables/table8.xml><?xml version="1.0" encoding="utf-8"?>
<table xmlns="http://schemas.openxmlformats.org/spreadsheetml/2006/main" headerRowCount="0" ref="N55" displayName="Table_8" name="Table_8" id="8">
  <tableColumns count="1">
    <tableColumn name="Column1" id="1"/>
  </tableColumns>
  <tableStyleInfo name="VILLAVICENCIO-style 8" showColumnStripes="0" showFirstColumn="1" showLastColumn="1" showRowStripes="1"/>
</table>
</file>

<file path=xl/tables/table9.xml><?xml version="1.0" encoding="utf-8"?>
<table xmlns="http://schemas.openxmlformats.org/spreadsheetml/2006/main" headerRowCount="0" ref="C58:K58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VILLAVICENCIO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59:M59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VILLAVICENCIO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60:D62" displayName="Table_11" name="Table_11" id="11">
  <tableColumns count="2">
    <tableColumn name="Column1" id="1"/>
    <tableColumn name="Column2" id="2"/>
  </tableColumns>
  <tableStyleInfo name="VILLAVICENCIO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77:D77" displayName="Table_12" name="Table_12" id="12">
  <tableColumns count="2">
    <tableColumn name="Column1" id="1"/>
    <tableColumn name="Column2" id="2"/>
  </tableColumns>
  <tableStyleInfo name="VILLAVICENCIO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87:D87" displayName="Table_13" name="Table_13" id="13">
  <tableColumns count="2">
    <tableColumn name="Column1" id="1"/>
    <tableColumn name="Column2" id="2"/>
  </tableColumns>
  <tableStyleInfo name="VILLAVICENCIO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90:X90" displayName="Table_14" name="Table_14" id="1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VILLAVICENCIO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104:D104" displayName="Table_15" name="Table_15" id="15">
  <tableColumns count="2">
    <tableColumn name="Column1" id="1"/>
    <tableColumn name="Column2" id="2"/>
  </tableColumns>
  <tableStyleInfo name="VILLAVICENCIO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05:D105" displayName="Table_16" name="Table_16" id="16">
  <tableColumns count="2">
    <tableColumn name="Column1" id="1"/>
    <tableColumn name="Column2" id="2"/>
  </tableColumns>
  <tableStyleInfo name="VILLAVICENCIO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106:D107" displayName="Table_17" name="Table_17" id="17">
  <tableColumns count="2">
    <tableColumn name="Column1" id="1"/>
    <tableColumn name="Column2" id="2"/>
  </tableColumns>
  <tableStyleInfo name="VILLAVICENCIO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116:D117" displayName="Table_18" name="Table_18" id="18">
  <tableColumns count="2">
    <tableColumn name="Column1" id="1"/>
    <tableColumn name="Column2" id="2"/>
  </tableColumns>
  <tableStyleInfo name="VILLAVICENCIO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N117:N119" displayName="Table_19" name="Table_19" id="19">
  <tableColumns count="1">
    <tableColumn name="Column1" id="1"/>
  </tableColumns>
  <tableStyleInfo name="VILLAVICENCIO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118:D120" displayName="Table_20" name="Table_20" id="20">
  <tableColumns count="2">
    <tableColumn name="Column1" id="1"/>
    <tableColumn name="Column2" id="2"/>
  </tableColumns>
  <tableStyleInfo name="VILLAVICENCIO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28:L128" displayName="Table_21" name="Table_21" id="2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VILLAVICENCIO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137:D137" displayName="Table_22" name="Table_22" id="22">
  <tableColumns count="2">
    <tableColumn name="Column1" id="1"/>
    <tableColumn name="Column2" id="2"/>
  </tableColumns>
  <tableStyleInfo name="VILLAVICENCIO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N137" displayName="Table_23" name="Table_23" id="23">
  <tableColumns count="1">
    <tableColumn name="Column1" id="1"/>
  </tableColumns>
  <tableStyleInfo name="VILLAVICENCIO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139:D139" displayName="Table_24" name="Table_24" id="24">
  <tableColumns count="2">
    <tableColumn name="Column1" id="1"/>
    <tableColumn name="Column2" id="2"/>
  </tableColumns>
  <tableStyleInfo name="VILLAVICENCIO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C140:D140" displayName="Table_25" name="Table_25" id="25">
  <tableColumns count="2">
    <tableColumn name="Column1" id="1"/>
    <tableColumn name="Column2" id="2"/>
  </tableColumns>
  <tableStyleInfo name="VILLAVICENCIO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41:D144" displayName="Table_26" name="Table_26" id="26">
  <tableColumns count="2">
    <tableColumn name="Column1" id="1"/>
    <tableColumn name="Column2" id="2"/>
  </tableColumns>
  <tableStyleInfo name="VILLAVICENCIO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145:D146" displayName="Table_27" name="Table_27" id="27">
  <tableColumns count="2">
    <tableColumn name="Column1" id="1"/>
    <tableColumn name="Column2" id="2"/>
  </tableColumns>
  <tableStyleInfo name="VILLAVICENCIO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147:D147" displayName="Table_28" name="Table_28" id="28">
  <tableColumns count="2">
    <tableColumn name="Column1" id="1"/>
    <tableColumn name="Column2" id="2"/>
  </tableColumns>
  <tableStyleInfo name="VILLAVICENCIO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49:D149" displayName="Table_29" name="Table_29" id="29">
  <tableColumns count="2">
    <tableColumn name="Column1" id="1"/>
    <tableColumn name="Column2" id="2"/>
  </tableColumns>
  <tableStyleInfo name="VILLAVICENCIO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153:D153" displayName="Table_30" name="Table_30" id="30">
  <tableColumns count="2">
    <tableColumn name="Column1" id="1"/>
    <tableColumn name="Column2" id="2"/>
  </tableColumns>
  <tableStyleInfo name="VILLAVICENCIO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C155:D156" displayName="Table_31" name="Table_31" id="31">
  <tableColumns count="2">
    <tableColumn name="Column1" id="1"/>
    <tableColumn name="Column2" id="2"/>
  </tableColumns>
  <tableStyleInfo name="VILLAVICENCIO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N156" displayName="Table_32" name="Table_32" id="32">
  <tableColumns count="1">
    <tableColumn name="Column1" id="1"/>
  </tableColumns>
  <tableStyleInfo name="VILLAVICENCIO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C157:D157" displayName="Table_33" name="Table_33" id="33">
  <tableColumns count="2">
    <tableColumn name="Column1" id="1"/>
    <tableColumn name="Column2" id="2"/>
  </tableColumns>
  <tableStyleInfo name="VILLAVICENCIO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C158:D158" displayName="Table_34" name="Table_34" id="34">
  <tableColumns count="2">
    <tableColumn name="Column1" id="1"/>
    <tableColumn name="Column2" id="2"/>
  </tableColumns>
  <tableStyleInfo name="VILLAVICENCIO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C160:D160" displayName="Table_35" name="Table_35" id="35">
  <tableColumns count="2">
    <tableColumn name="Column1" id="1"/>
    <tableColumn name="Column2" id="2"/>
  </tableColumns>
  <tableStyleInfo name="VILLAVICENCIO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N160" displayName="Table_36" name="Table_36" id="36">
  <tableColumns count="1">
    <tableColumn name="Column1" id="1"/>
  </tableColumns>
  <tableStyleInfo name="VILLAVICENCIO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C166:D166" displayName="Table_37" name="Table_37" id="37">
  <tableColumns count="2">
    <tableColumn name="Column1" id="1"/>
    <tableColumn name="Column2" id="2"/>
  </tableColumns>
  <tableStyleInfo name="VILLAVICENCIO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C169:L169" displayName="Table_38" name="Table_38" id="3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VILLAVICENCIO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C170:D170" displayName="Table_39" name="Table_39" id="39">
  <tableColumns count="2">
    <tableColumn name="Column1" id="1"/>
    <tableColumn name="Column2" id="2"/>
  </tableColumns>
  <tableStyleInfo name="VILLAVICENCIO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N170" displayName="Table_40" name="Table_40" id="40">
  <tableColumns count="1">
    <tableColumn name="Column1" id="1"/>
  </tableColumns>
  <tableStyleInfo name="VILLAVICENCIO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C177:D177" displayName="Table_41" name="Table_41" id="41">
  <tableColumns count="2">
    <tableColumn name="Column1" id="1"/>
    <tableColumn name="Column2" id="2"/>
  </tableColumns>
  <tableStyleInfo name="VILLAVICENCIO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C178:D178" displayName="Table_42" name="Table_42" id="42">
  <tableColumns count="2">
    <tableColumn name="Column1" id="1"/>
    <tableColumn name="Column2" id="2"/>
  </tableColumns>
  <tableStyleInfo name="VILLAVICENCIO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C7:N7" displayName="Table_43" name="Table_43" id="4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" showColumnStripes="0" showFirstColumn="1" showLastColumn="1" showRowStripes="1"/>
</table>
</file>

<file path=xl/tables/table44.xml><?xml version="1.0" encoding="utf-8"?>
<table xmlns="http://schemas.openxmlformats.org/spreadsheetml/2006/main" headerRowCount="0" ref="C10:N10" displayName="Table_44" name="Table_44" id="4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" showColumnStripes="0" showFirstColumn="1" showLastColumn="1" showRowStripes="1"/>
</table>
</file>

<file path=xl/tables/table45.xml><?xml version="1.0" encoding="utf-8"?>
<table xmlns="http://schemas.openxmlformats.org/spreadsheetml/2006/main" headerRowCount="0" ref="C12:N12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3" showColumnStripes="0" showFirstColumn="1" showLastColumn="1" showRowStripes="1"/>
</table>
</file>

<file path=xl/tables/table46.xml><?xml version="1.0" encoding="utf-8"?>
<table xmlns="http://schemas.openxmlformats.org/spreadsheetml/2006/main" headerRowCount="0" ref="C13:N13" displayName="Table_46" name="Table_46" id="4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4" showColumnStripes="0" showFirstColumn="1" showLastColumn="1" showRowStripes="1"/>
</table>
</file>

<file path=xl/tables/table47.xml><?xml version="1.0" encoding="utf-8"?>
<table xmlns="http://schemas.openxmlformats.org/spreadsheetml/2006/main" headerRowCount="0" ref="C14:N14" displayName="Table_47" name="Table_47" id="4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5" showColumnStripes="0" showFirstColumn="1" showLastColumn="1" showRowStripes="1"/>
</table>
</file>

<file path=xl/tables/table48.xml><?xml version="1.0" encoding="utf-8"?>
<table xmlns="http://schemas.openxmlformats.org/spreadsheetml/2006/main" headerRowCount="0" ref="C15:N15" displayName="Table_48" name="Table_48" id="4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6" showColumnStripes="0" showFirstColumn="1" showLastColumn="1" showRowStripes="1"/>
</table>
</file>

<file path=xl/tables/table49.xml><?xml version="1.0" encoding="utf-8"?>
<table xmlns="http://schemas.openxmlformats.org/spreadsheetml/2006/main" headerRowCount="0" ref="C16:N16" displayName="Table_49" name="Table_49" id="4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" showColumnStripes="0" showFirstColumn="1" showLastColumn="1" showRowStripes="1"/>
</table>
</file>

<file path=xl/tables/table50.xml><?xml version="1.0" encoding="utf-8"?>
<table xmlns="http://schemas.openxmlformats.org/spreadsheetml/2006/main" headerRowCount="0" ref="C17:N17" displayName="Table_50" name="Table_50" id="5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" showColumnStripes="0" showFirstColumn="1" showLastColumn="1" showRowStripes="1"/>
</table>
</file>

<file path=xl/tables/table51.xml><?xml version="1.0" encoding="utf-8"?>
<table xmlns="http://schemas.openxmlformats.org/spreadsheetml/2006/main" headerRowCount="0" ref="C18:D18" displayName="Table_51" name="Table_51" id="51">
  <tableColumns count="2">
    <tableColumn name="Column1" id="1"/>
    <tableColumn name="Column2" id="2"/>
  </tableColumns>
  <tableStyleInfo name="BOGOTA-style 9" showColumnStripes="0" showFirstColumn="1" showLastColumn="1" showRowStripes="1"/>
</table>
</file>

<file path=xl/tables/table52.xml><?xml version="1.0" encoding="utf-8"?>
<table xmlns="http://schemas.openxmlformats.org/spreadsheetml/2006/main" headerRowCount="0" ref="C19:N19" displayName="Table_52" name="Table_52" id="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" showColumnStripes="0" showFirstColumn="1" showLastColumn="1" showRowStripes="1"/>
</table>
</file>

<file path=xl/tables/table53.xml><?xml version="1.0" encoding="utf-8"?>
<table xmlns="http://schemas.openxmlformats.org/spreadsheetml/2006/main" headerRowCount="0" ref="C20:D20" displayName="Table_53" name="Table_53" id="53">
  <tableColumns count="2">
    <tableColumn name="Column1" id="1"/>
    <tableColumn name="Column2" id="2"/>
  </tableColumns>
  <tableStyleInfo name="BOGOTA-style 11" showColumnStripes="0" showFirstColumn="1" showLastColumn="1" showRowStripes="1"/>
</table>
</file>

<file path=xl/tables/table54.xml><?xml version="1.0" encoding="utf-8"?>
<table xmlns="http://schemas.openxmlformats.org/spreadsheetml/2006/main" headerRowCount="0" ref="C23:N23" displayName="Table_54" name="Table_54" id="5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" showColumnStripes="0" showFirstColumn="1" showLastColumn="1" showRowStripes="1"/>
</table>
</file>

<file path=xl/tables/table55.xml><?xml version="1.0" encoding="utf-8"?>
<table xmlns="http://schemas.openxmlformats.org/spreadsheetml/2006/main" headerRowCount="0" ref="C24:N24" displayName="Table_55" name="Table_55" id="5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" showColumnStripes="0" showFirstColumn="1" showLastColumn="1" showRowStripes="1"/>
</table>
</file>

<file path=xl/tables/table56.xml><?xml version="1.0" encoding="utf-8"?>
<table xmlns="http://schemas.openxmlformats.org/spreadsheetml/2006/main" headerRowCount="0" ref="C25:N25" displayName="Table_56" name="Table_56" id="5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4" showColumnStripes="0" showFirstColumn="1" showLastColumn="1" showRowStripes="1"/>
</table>
</file>

<file path=xl/tables/table57.xml><?xml version="1.0" encoding="utf-8"?>
<table xmlns="http://schemas.openxmlformats.org/spreadsheetml/2006/main" headerRowCount="0" ref="C27:N27" displayName="Table_57" name="Table_57" id="5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" showColumnStripes="0" showFirstColumn="1" showLastColumn="1" showRowStripes="1"/>
</table>
</file>

<file path=xl/tables/table58.xml><?xml version="1.0" encoding="utf-8"?>
<table xmlns="http://schemas.openxmlformats.org/spreadsheetml/2006/main" headerRowCount="0" ref="C30:D30" displayName="Table_58" name="Table_58" id="58">
  <tableColumns count="2">
    <tableColumn name="Column1" id="1"/>
    <tableColumn name="Column2" id="2"/>
  </tableColumns>
  <tableStyleInfo name="BOGOTA-style 16" showColumnStripes="0" showFirstColumn="1" showLastColumn="1" showRowStripes="1"/>
</table>
</file>

<file path=xl/tables/table59.xml><?xml version="1.0" encoding="utf-8"?>
<table xmlns="http://schemas.openxmlformats.org/spreadsheetml/2006/main" headerRowCount="0" ref="C31:N31" displayName="Table_59" name="Table_59" id="5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7" showColumnStripes="0" showFirstColumn="1" showLastColumn="1" showRowStripes="1"/>
</table>
</file>

<file path=xl/tables/table60.xml><?xml version="1.0" encoding="utf-8"?>
<table xmlns="http://schemas.openxmlformats.org/spreadsheetml/2006/main" headerRowCount="0" ref="C32:D32" displayName="Table_60" name="Table_60" id="60">
  <tableColumns count="2">
    <tableColumn name="Column1" id="1"/>
    <tableColumn name="Column2" id="2"/>
  </tableColumns>
  <tableStyleInfo name="BOGOTA-style 18" showColumnStripes="0" showFirstColumn="1" showLastColumn="1" showRowStripes="1"/>
</table>
</file>

<file path=xl/tables/table61.xml><?xml version="1.0" encoding="utf-8"?>
<table xmlns="http://schemas.openxmlformats.org/spreadsheetml/2006/main" headerRowCount="0" ref="C33:N33" displayName="Table_61" name="Table_61" id="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9" showColumnStripes="0" showFirstColumn="1" showLastColumn="1" showRowStripes="1"/>
</table>
</file>

<file path=xl/tables/table62.xml><?xml version="1.0" encoding="utf-8"?>
<table xmlns="http://schemas.openxmlformats.org/spreadsheetml/2006/main" headerRowCount="0" ref="C34:N34" displayName="Table_62" name="Table_62" id="6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0" showColumnStripes="0" showFirstColumn="1" showLastColumn="1" showRowStripes="1"/>
</table>
</file>

<file path=xl/tables/table63.xml><?xml version="1.0" encoding="utf-8"?>
<table xmlns="http://schemas.openxmlformats.org/spreadsheetml/2006/main" headerRowCount="0" ref="C35:E35" displayName="Table_63" name="Table_63" id="63">
  <tableColumns count="3">
    <tableColumn name="Column1" id="1"/>
    <tableColumn name="Column2" id="2"/>
    <tableColumn name="Column3" id="3"/>
  </tableColumns>
  <tableStyleInfo name="BOGOTA-style 21" showColumnStripes="0" showFirstColumn="1" showLastColumn="1" showRowStripes="1"/>
</table>
</file>

<file path=xl/tables/table64.xml><?xml version="1.0" encoding="utf-8"?>
<table xmlns="http://schemas.openxmlformats.org/spreadsheetml/2006/main" headerRowCount="0" ref="C36:N36" displayName="Table_64" name="Table_64" id="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2" showColumnStripes="0" showFirstColumn="1" showLastColumn="1" showRowStripes="1"/>
</table>
</file>

<file path=xl/tables/table65.xml><?xml version="1.0" encoding="utf-8"?>
<table xmlns="http://schemas.openxmlformats.org/spreadsheetml/2006/main" headerRowCount="0" ref="C37:N37" displayName="Table_65" name="Table_65" id="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3" showColumnStripes="0" showFirstColumn="1" showLastColumn="1" showRowStripes="1"/>
</table>
</file>

<file path=xl/tables/table66.xml><?xml version="1.0" encoding="utf-8"?>
<table xmlns="http://schemas.openxmlformats.org/spreadsheetml/2006/main" headerRowCount="0" ref="C38:N38" displayName="Table_66" name="Table_66" id="6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4" showColumnStripes="0" showFirstColumn="1" showLastColumn="1" showRowStripes="1"/>
</table>
</file>

<file path=xl/tables/table67.xml><?xml version="1.0" encoding="utf-8"?>
<table xmlns="http://schemas.openxmlformats.org/spreadsheetml/2006/main" headerRowCount="0" ref="C39:E39" displayName="Table_67" name="Table_67" id="67">
  <tableColumns count="3">
    <tableColumn name="Column1" id="1"/>
    <tableColumn name="Column2" id="2"/>
    <tableColumn name="Column3" id="3"/>
  </tableColumns>
  <tableStyleInfo name="BOGOTA-style 25" showColumnStripes="0" showFirstColumn="1" showLastColumn="1" showRowStripes="1"/>
</table>
</file>

<file path=xl/tables/table68.xml><?xml version="1.0" encoding="utf-8"?>
<table xmlns="http://schemas.openxmlformats.org/spreadsheetml/2006/main" headerRowCount="0" ref="N39" displayName="Table_68" name="Table_68" id="68">
  <tableColumns count="1">
    <tableColumn name="Column1" id="1"/>
  </tableColumns>
  <tableStyleInfo name="BOGOTA-style 26" showColumnStripes="0" showFirstColumn="1" showLastColumn="1" showRowStripes="1"/>
</table>
</file>

<file path=xl/tables/table69.xml><?xml version="1.0" encoding="utf-8"?>
<table xmlns="http://schemas.openxmlformats.org/spreadsheetml/2006/main" headerRowCount="0" ref="Y39" displayName="Table_69" name="Table_69" id="69">
  <tableColumns count="1">
    <tableColumn name="Column1" id="1"/>
  </tableColumns>
  <tableStyleInfo name="BOGOTA-style 27" showColumnStripes="0" showFirstColumn="1" showLastColumn="1" showRowStripes="1"/>
</table>
</file>

<file path=xl/tables/table70.xml><?xml version="1.0" encoding="utf-8"?>
<table xmlns="http://schemas.openxmlformats.org/spreadsheetml/2006/main" headerRowCount="0" ref="C40:M42" displayName="Table_70" name="Table_70" id="7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8" showColumnStripes="0" showFirstColumn="1" showLastColumn="1" showRowStripes="1"/>
</table>
</file>

<file path=xl/tables/table71.xml><?xml version="1.0" encoding="utf-8"?>
<table xmlns="http://schemas.openxmlformats.org/spreadsheetml/2006/main" headerRowCount="0" ref="N40" displayName="Table_71" name="Table_71" id="71">
  <tableColumns count="1">
    <tableColumn name="Column1" id="1"/>
  </tableColumns>
  <tableStyleInfo name="BOGOTA-style 29" showColumnStripes="0" showFirstColumn="1" showLastColumn="1" showRowStripes="1"/>
</table>
</file>

<file path=xl/tables/table72.xml><?xml version="1.0" encoding="utf-8"?>
<table xmlns="http://schemas.openxmlformats.org/spreadsheetml/2006/main" headerRowCount="0" ref="Y40" displayName="Table_72" name="Table_72" id="72">
  <tableColumns count="1">
    <tableColumn name="Column1" id="1"/>
  </tableColumns>
  <tableStyleInfo name="BOGOTA-style 30" showColumnStripes="0" showFirstColumn="1" showLastColumn="1" showRowStripes="1"/>
</table>
</file>

<file path=xl/tables/table73.xml><?xml version="1.0" encoding="utf-8"?>
<table xmlns="http://schemas.openxmlformats.org/spreadsheetml/2006/main" headerRowCount="0" ref="C43:N43" displayName="Table_73" name="Table_73" id="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31" showColumnStripes="0" showFirstColumn="1" showLastColumn="1" showRowStripes="1"/>
</table>
</file>

<file path=xl/tables/table74.xml><?xml version="1.0" encoding="utf-8"?>
<table xmlns="http://schemas.openxmlformats.org/spreadsheetml/2006/main" headerRowCount="0" ref="C45:H45" displayName="Table_74" name="Table_74" id="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2" showColumnStripes="0" showFirstColumn="1" showLastColumn="1" showRowStripes="1"/>
</table>
</file>

<file path=xl/tables/table75.xml><?xml version="1.0" encoding="utf-8"?>
<table xmlns="http://schemas.openxmlformats.org/spreadsheetml/2006/main" headerRowCount="0" ref="C46:M46" displayName="Table_75" name="Table_75" id="7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3" showColumnStripes="0" showFirstColumn="1" showLastColumn="1" showRowStripes="1"/>
</table>
</file>

<file path=xl/tables/table76.xml><?xml version="1.0" encoding="utf-8"?>
<table xmlns="http://schemas.openxmlformats.org/spreadsheetml/2006/main" headerRowCount="0" ref="N46" displayName="Table_76" name="Table_76" id="76">
  <tableColumns count="1">
    <tableColumn name="Column1" id="1"/>
  </tableColumns>
  <tableStyleInfo name="BOGOTA-style 34" showColumnStripes="0" showFirstColumn="1" showLastColumn="1" showRowStripes="1"/>
</table>
</file>

<file path=xl/tables/table77.xml><?xml version="1.0" encoding="utf-8"?>
<table xmlns="http://schemas.openxmlformats.org/spreadsheetml/2006/main" headerRowCount="0" ref="Y46" displayName="Table_77" name="Table_77" id="77">
  <tableColumns count="1">
    <tableColumn name="Column1" id="1"/>
  </tableColumns>
  <tableStyleInfo name="BOGOTA-style 35" showColumnStripes="0" showFirstColumn="1" showLastColumn="1" showRowStripes="1"/>
</table>
</file>

<file path=xl/tables/table78.xml><?xml version="1.0" encoding="utf-8"?>
<table xmlns="http://schemas.openxmlformats.org/spreadsheetml/2006/main" headerRowCount="0" ref="C47:N47" displayName="Table_78" name="Table_78" id="7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36" showColumnStripes="0" showFirstColumn="1" showLastColumn="1" showRowStripes="1"/>
</table>
</file>

<file path=xl/tables/table79.xml><?xml version="1.0" encoding="utf-8"?>
<table xmlns="http://schemas.openxmlformats.org/spreadsheetml/2006/main" headerRowCount="0" ref="C48:E48" displayName="Table_79" name="Table_79" id="79">
  <tableColumns count="3">
    <tableColumn name="Column1" id="1"/>
    <tableColumn name="Column2" id="2"/>
    <tableColumn name="Column3" id="3"/>
  </tableColumns>
  <tableStyleInfo name="BOGOTA-style 37" showColumnStripes="0" showFirstColumn="1" showLastColumn="1" showRowStripes="1"/>
</table>
</file>

<file path=xl/tables/table80.xml><?xml version="1.0" encoding="utf-8"?>
<table xmlns="http://schemas.openxmlformats.org/spreadsheetml/2006/main" headerRowCount="0" ref="N48" displayName="Table_80" name="Table_80" id="80">
  <tableColumns count="1">
    <tableColumn name="Column1" id="1"/>
  </tableColumns>
  <tableStyleInfo name="BOGOTA-style 38" showColumnStripes="0" showFirstColumn="1" showLastColumn="1" showRowStripes="1"/>
</table>
</file>

<file path=xl/tables/table81.xml><?xml version="1.0" encoding="utf-8"?>
<table xmlns="http://schemas.openxmlformats.org/spreadsheetml/2006/main" headerRowCount="0" ref="Y48" displayName="Table_81" name="Table_81" id="81">
  <tableColumns count="1">
    <tableColumn name="Column1" id="1"/>
  </tableColumns>
  <tableStyleInfo name="BOGOTA-style 39" showColumnStripes="0" showFirstColumn="1" showLastColumn="1" showRowStripes="1"/>
</table>
</file>

<file path=xl/tables/table82.xml><?xml version="1.0" encoding="utf-8"?>
<table xmlns="http://schemas.openxmlformats.org/spreadsheetml/2006/main" headerRowCount="0" ref="C49:M49" displayName="Table_82" name="Table_82" id="8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40" showColumnStripes="0" showFirstColumn="1" showLastColumn="1" showRowStripes="1"/>
</table>
</file>

<file path=xl/tables/table83.xml><?xml version="1.0" encoding="utf-8"?>
<table xmlns="http://schemas.openxmlformats.org/spreadsheetml/2006/main" headerRowCount="0" ref="N49" displayName="Table_83" name="Table_83" id="83">
  <tableColumns count="1">
    <tableColumn name="Column1" id="1"/>
  </tableColumns>
  <tableStyleInfo name="BOGOTA-style 41" showColumnStripes="0" showFirstColumn="1" showLastColumn="1" showRowStripes="1"/>
</table>
</file>

<file path=xl/tables/table84.xml><?xml version="1.0" encoding="utf-8"?>
<table xmlns="http://schemas.openxmlformats.org/spreadsheetml/2006/main" headerRowCount="0" ref="Y49" displayName="Table_84" name="Table_84" id="84">
  <tableColumns count="1">
    <tableColumn name="Column1" id="1"/>
  </tableColumns>
  <tableStyleInfo name="BOGOTA-style 42" showColumnStripes="0" showFirstColumn="1" showLastColumn="1" showRowStripes="1"/>
</table>
</file>

<file path=xl/tables/table85.xml><?xml version="1.0" encoding="utf-8"?>
<table xmlns="http://schemas.openxmlformats.org/spreadsheetml/2006/main" headerRowCount="0" ref="C50:N50" displayName="Table_85" name="Table_85" id="8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43" showColumnStripes="0" showFirstColumn="1" showLastColumn="1" showRowStripes="1"/>
</table>
</file>

<file path=xl/tables/table86.xml><?xml version="1.0" encoding="utf-8"?>
<table xmlns="http://schemas.openxmlformats.org/spreadsheetml/2006/main" headerRowCount="0" ref="C51:E51" displayName="Table_86" name="Table_86" id="86">
  <tableColumns count="3">
    <tableColumn name="Column1" id="1"/>
    <tableColumn name="Column2" id="2"/>
    <tableColumn name="Column3" id="3"/>
  </tableColumns>
  <tableStyleInfo name="BOGOTA-style 44" showColumnStripes="0" showFirstColumn="1" showLastColumn="1" showRowStripes="1"/>
</table>
</file>

<file path=xl/tables/table87.xml><?xml version="1.0" encoding="utf-8"?>
<table xmlns="http://schemas.openxmlformats.org/spreadsheetml/2006/main" headerRowCount="0" ref="N51" displayName="Table_87" name="Table_87" id="87">
  <tableColumns count="1">
    <tableColumn name="Column1" id="1"/>
  </tableColumns>
  <tableStyleInfo name="BOGOTA-style 45" showColumnStripes="0" showFirstColumn="1" showLastColumn="1" showRowStripes="1"/>
</table>
</file>

<file path=xl/tables/table88.xml><?xml version="1.0" encoding="utf-8"?>
<table xmlns="http://schemas.openxmlformats.org/spreadsheetml/2006/main" headerRowCount="0" ref="Y51" displayName="Table_88" name="Table_88" id="88">
  <tableColumns count="1">
    <tableColumn name="Column1" id="1"/>
  </tableColumns>
  <tableStyleInfo name="BOGOTA-style 46" showColumnStripes="0" showFirstColumn="1" showLastColumn="1" showRowStripes="1"/>
</table>
</file>

<file path=xl/tables/table89.xml><?xml version="1.0" encoding="utf-8"?>
<table xmlns="http://schemas.openxmlformats.org/spreadsheetml/2006/main" headerRowCount="0" ref="C52:N52" displayName="Table_89" name="Table_89" id="8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47" showColumnStripes="0" showFirstColumn="1" showLastColumn="1" showRowStripes="1"/>
</table>
</file>

<file path=xl/tables/table90.xml><?xml version="1.0" encoding="utf-8"?>
<table xmlns="http://schemas.openxmlformats.org/spreadsheetml/2006/main" headerRowCount="0" ref="Y52" displayName="Table_90" name="Table_90" id="90">
  <tableColumns count="1">
    <tableColumn name="Column1" id="1"/>
  </tableColumns>
  <tableStyleInfo name="BOGOTA-style 48" showColumnStripes="0" showFirstColumn="1" showLastColumn="1" showRowStripes="1"/>
</table>
</file>

<file path=xl/tables/table91.xml><?xml version="1.0" encoding="utf-8"?>
<table xmlns="http://schemas.openxmlformats.org/spreadsheetml/2006/main" headerRowCount="0" ref="C53:N53" displayName="Table_91" name="Table_91" id="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49" showColumnStripes="0" showFirstColumn="1" showLastColumn="1" showRowStripes="1"/>
</table>
</file>

<file path=xl/tables/table92.xml><?xml version="1.0" encoding="utf-8"?>
<table xmlns="http://schemas.openxmlformats.org/spreadsheetml/2006/main" headerRowCount="0" ref="C55:N55" displayName="Table_92" name="Table_92" id="9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50" showColumnStripes="0" showFirstColumn="1" showLastColumn="1" showRowStripes="1"/>
</table>
</file>

<file path=xl/tables/table93.xml><?xml version="1.0" encoding="utf-8"?>
<table xmlns="http://schemas.openxmlformats.org/spreadsheetml/2006/main" headerRowCount="0" ref="Y55" displayName="Table_93" name="Table_93" id="93">
  <tableColumns count="1">
    <tableColumn name="Column1" id="1"/>
  </tableColumns>
  <tableStyleInfo name="BOGOTA-style 51" showColumnStripes="0" showFirstColumn="1" showLastColumn="1" showRowStripes="1"/>
</table>
</file>

<file path=xl/tables/table94.xml><?xml version="1.0" encoding="utf-8"?>
<table xmlns="http://schemas.openxmlformats.org/spreadsheetml/2006/main" headerRowCount="0" ref="C56:M58" displayName="Table_94" name="Table_94" id="9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52" showColumnStripes="0" showFirstColumn="1" showLastColumn="1" showRowStripes="1"/>
</table>
</file>

<file path=xl/tables/table95.xml><?xml version="1.0" encoding="utf-8"?>
<table xmlns="http://schemas.openxmlformats.org/spreadsheetml/2006/main" headerRowCount="0" ref="N56:N58" displayName="Table_95" name="Table_95" id="95">
  <tableColumns count="1">
    <tableColumn name="Column1" id="1"/>
  </tableColumns>
  <tableStyleInfo name="BOGOTA-style 53" showColumnStripes="0" showFirstColumn="1" showLastColumn="1" showRowStripes="1"/>
</table>
</file>

<file path=xl/tables/table96.xml><?xml version="1.0" encoding="utf-8"?>
<table xmlns="http://schemas.openxmlformats.org/spreadsheetml/2006/main" headerRowCount="0" ref="C59:N59" displayName="Table_96" name="Table_96" id="9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54" showColumnStripes="0" showFirstColumn="1" showLastColumn="1" showRowStripes="1"/>
</table>
</file>

<file path=xl/tables/table97.xml><?xml version="1.0" encoding="utf-8"?>
<table xmlns="http://schemas.openxmlformats.org/spreadsheetml/2006/main" headerRowCount="0" ref="Y59" displayName="Table_97" name="Table_97" id="97">
  <tableColumns count="1">
    <tableColumn name="Column1" id="1"/>
  </tableColumns>
  <tableStyleInfo name="BOGOTA-style 55" showColumnStripes="0" showFirstColumn="1" showLastColumn="1" showRowStripes="1"/>
</table>
</file>

<file path=xl/tables/table98.xml><?xml version="1.0" encoding="utf-8"?>
<table xmlns="http://schemas.openxmlformats.org/spreadsheetml/2006/main" headerRowCount="0" ref="C60:E60" displayName="Table_98" name="Table_98" id="98">
  <tableColumns count="3">
    <tableColumn name="Column1" id="1"/>
    <tableColumn name="Column2" id="2"/>
    <tableColumn name="Column3" id="3"/>
  </tableColumns>
  <tableStyleInfo name="BOGOTA-style 56" showColumnStripes="0" showFirstColumn="1" showLastColumn="1" showRowStripes="1"/>
</table>
</file>

<file path=xl/tables/table99.xml><?xml version="1.0" encoding="utf-8"?>
<table xmlns="http://schemas.openxmlformats.org/spreadsheetml/2006/main" headerRowCount="0" ref="N60" displayName="Table_99" name="Table_99" id="99">
  <tableColumns count="1">
    <tableColumn name="Column1" id="1"/>
  </tableColumns>
  <tableStyleInfo name="BOGOTA-style 57" showColumnStripes="0" showFirstColumn="1" showLastColumn="1" showRowStripes="1"/>
</table>
</file>

<file path=xl/tables/table100.xml><?xml version="1.0" encoding="utf-8"?>
<table xmlns="http://schemas.openxmlformats.org/spreadsheetml/2006/main" headerRowCount="0" ref="Y60" displayName="Table_100" name="Table_100" id="100">
  <tableColumns count="1">
    <tableColumn name="Column1" id="1"/>
  </tableColumns>
  <tableStyleInfo name="BOGOTA-style 58" showColumnStripes="0" showFirstColumn="1" showLastColumn="1" showRowStripes="1"/>
</table>
</file>

<file path=xl/tables/table101.xml><?xml version="1.0" encoding="utf-8"?>
<table xmlns="http://schemas.openxmlformats.org/spreadsheetml/2006/main" headerRowCount="0" ref="C61:N61" displayName="Table_101" name="Table_101" id="10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59" showColumnStripes="0" showFirstColumn="1" showLastColumn="1" showRowStripes="1"/>
</table>
</file>

<file path=xl/tables/table102.xml><?xml version="1.0" encoding="utf-8"?>
<table xmlns="http://schemas.openxmlformats.org/spreadsheetml/2006/main" headerRowCount="0" ref="C62:M62" displayName="Table_102" name="Table_102" id="10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0" showColumnStripes="0" showFirstColumn="1" showLastColumn="1" showRowStripes="1"/>
</table>
</file>

<file path=xl/tables/table103.xml><?xml version="1.0" encoding="utf-8"?>
<table xmlns="http://schemas.openxmlformats.org/spreadsheetml/2006/main" headerRowCount="0" ref="N62" displayName="Table_103" name="Table_103" id="103">
  <tableColumns count="1">
    <tableColumn name="Column1" id="1"/>
  </tableColumns>
  <tableStyleInfo name="BOGOTA-style 61" showColumnStripes="0" showFirstColumn="1" showLastColumn="1" showRowStripes="1"/>
</table>
</file>

<file path=xl/tables/table104.xml><?xml version="1.0" encoding="utf-8"?>
<table xmlns="http://schemas.openxmlformats.org/spreadsheetml/2006/main" headerRowCount="0" ref="C64:M64" displayName="Table_104" name="Table_104" id="10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2" showColumnStripes="0" showFirstColumn="1" showLastColumn="1" showRowStripes="1"/>
</table>
</file>

<file path=xl/tables/table105.xml><?xml version="1.0" encoding="utf-8"?>
<table xmlns="http://schemas.openxmlformats.org/spreadsheetml/2006/main" headerRowCount="0" ref="N64" displayName="Table_105" name="Table_105" id="105">
  <tableColumns count="1">
    <tableColumn name="Column1" id="1"/>
  </tableColumns>
  <tableStyleInfo name="BOGOTA-style 63" showColumnStripes="0" showFirstColumn="1" showLastColumn="1" showRowStripes="1"/>
</table>
</file>

<file path=xl/tables/table106.xml><?xml version="1.0" encoding="utf-8"?>
<table xmlns="http://schemas.openxmlformats.org/spreadsheetml/2006/main" headerRowCount="0" ref="C65:M65" displayName="Table_106" name="Table_106" id="10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4" showColumnStripes="0" showFirstColumn="1" showLastColumn="1" showRowStripes="1"/>
</table>
</file>

<file path=xl/tables/table107.xml><?xml version="1.0" encoding="utf-8"?>
<table xmlns="http://schemas.openxmlformats.org/spreadsheetml/2006/main" headerRowCount="0" ref="N65" displayName="Table_107" name="Table_107" id="107">
  <tableColumns count="1">
    <tableColumn name="Column1" id="1"/>
  </tableColumns>
  <tableStyleInfo name="BOGOTA-style 65" showColumnStripes="0" showFirstColumn="1" showLastColumn="1" showRowStripes="1"/>
</table>
</file>

<file path=xl/tables/table108.xml><?xml version="1.0" encoding="utf-8"?>
<table xmlns="http://schemas.openxmlformats.org/spreadsheetml/2006/main" headerRowCount="0" ref="C66:M67" displayName="Table_108" name="Table_108" id="10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6" showColumnStripes="0" showFirstColumn="1" showLastColumn="1" showRowStripes="1"/>
</table>
</file>

<file path=xl/tables/table109.xml><?xml version="1.0" encoding="utf-8"?>
<table xmlns="http://schemas.openxmlformats.org/spreadsheetml/2006/main" headerRowCount="0" ref="N66:N67" displayName="Table_109" name="Table_109" id="109">
  <tableColumns count="1">
    <tableColumn name="Column1" id="1"/>
  </tableColumns>
  <tableStyleInfo name="BOGOTA-style 67" showColumnStripes="0" showFirstColumn="1" showLastColumn="1" showRowStripes="1"/>
</table>
</file>

<file path=xl/tables/table110.xml><?xml version="1.0" encoding="utf-8"?>
<table xmlns="http://schemas.openxmlformats.org/spreadsheetml/2006/main" headerRowCount="0" ref="C68:N68" displayName="Table_110" name="Table_110" id="1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68" showColumnStripes="0" showFirstColumn="1" showLastColumn="1" showRowStripes="1"/>
</table>
</file>

<file path=xl/tables/table111.xml><?xml version="1.0" encoding="utf-8"?>
<table xmlns="http://schemas.openxmlformats.org/spreadsheetml/2006/main" headerRowCount="0" ref="C74:M74" displayName="Table_111" name="Table_111" id="1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9" showColumnStripes="0" showFirstColumn="1" showLastColumn="1" showRowStripes="1"/>
</table>
</file>

<file path=xl/tables/table112.xml><?xml version="1.0" encoding="utf-8"?>
<table xmlns="http://schemas.openxmlformats.org/spreadsheetml/2006/main" headerRowCount="0" ref="N74" displayName="Table_112" name="Table_112" id="112">
  <tableColumns count="1">
    <tableColumn name="Column1" id="1"/>
  </tableColumns>
  <tableStyleInfo name="BOGOTA-style 70" showColumnStripes="0" showFirstColumn="1" showLastColumn="1" showRowStripes="1"/>
</table>
</file>

<file path=xl/tables/table113.xml><?xml version="1.0" encoding="utf-8"?>
<table xmlns="http://schemas.openxmlformats.org/spreadsheetml/2006/main" headerRowCount="0" ref="C76:M77" displayName="Table_113" name="Table_113" id="1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1" showColumnStripes="0" showFirstColumn="1" showLastColumn="1" showRowStripes="1"/>
</table>
</file>

<file path=xl/tables/table114.xml><?xml version="1.0" encoding="utf-8"?>
<table xmlns="http://schemas.openxmlformats.org/spreadsheetml/2006/main" headerRowCount="0" ref="N76:N77" displayName="Table_114" name="Table_114" id="114">
  <tableColumns count="1">
    <tableColumn name="Column1" id="1"/>
  </tableColumns>
  <tableStyleInfo name="BOGOTA-style 72" showColumnStripes="0" showFirstColumn="1" showLastColumn="1" showRowStripes="1"/>
</table>
</file>

<file path=xl/tables/table115.xml><?xml version="1.0" encoding="utf-8"?>
<table xmlns="http://schemas.openxmlformats.org/spreadsheetml/2006/main" headerRowCount="0" ref="C78:M78" displayName="Table_115" name="Table_115" id="1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3" showColumnStripes="0" showFirstColumn="1" showLastColumn="1" showRowStripes="1"/>
</table>
</file>

<file path=xl/tables/table116.xml><?xml version="1.0" encoding="utf-8"?>
<table xmlns="http://schemas.openxmlformats.org/spreadsheetml/2006/main" headerRowCount="0" ref="N78:N80" displayName="Table_116" name="Table_116" id="116">
  <tableColumns count="1">
    <tableColumn name="Column1" id="1"/>
  </tableColumns>
  <tableStyleInfo name="BOGOTA-style 74" showColumnStripes="0" showFirstColumn="1" showLastColumn="1" showRowStripes="1"/>
</table>
</file>

<file path=xl/tables/table117.xml><?xml version="1.0" encoding="utf-8"?>
<table xmlns="http://schemas.openxmlformats.org/spreadsheetml/2006/main" headerRowCount="0" ref="C84:M84" displayName="Table_117" name="Table_117" id="1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5" showColumnStripes="0" showFirstColumn="1" showLastColumn="1" showRowStripes="1"/>
</table>
</file>

<file path=xl/tables/table118.xml><?xml version="1.0" encoding="utf-8"?>
<table xmlns="http://schemas.openxmlformats.org/spreadsheetml/2006/main" headerRowCount="0" ref="N84" displayName="Table_118" name="Table_118" id="118">
  <tableColumns count="1">
    <tableColumn name="Column1" id="1"/>
  </tableColumns>
  <tableStyleInfo name="BOGOTA-style 76" showColumnStripes="0" showFirstColumn="1" showLastColumn="1" showRowStripes="1"/>
</table>
</file>

<file path=xl/tables/table119.xml><?xml version="1.0" encoding="utf-8"?>
<table xmlns="http://schemas.openxmlformats.org/spreadsheetml/2006/main" headerRowCount="0" ref="C85:H85" displayName="Table_119" name="Table_119" id="1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77" showColumnStripes="0" showFirstColumn="1" showLastColumn="1" showRowStripes="1"/>
</table>
</file>

<file path=xl/tables/table120.xml><?xml version="1.0" encoding="utf-8"?>
<table xmlns="http://schemas.openxmlformats.org/spreadsheetml/2006/main" headerRowCount="0" ref="N85" displayName="Table_120" name="Table_120" id="120">
  <tableColumns count="1">
    <tableColumn name="Column1" id="1"/>
  </tableColumns>
  <tableStyleInfo name="BOGOTA-style 78" showColumnStripes="0" showFirstColumn="1" showLastColumn="1" showRowStripes="1"/>
</table>
</file>

<file path=xl/tables/table121.xml><?xml version="1.0" encoding="utf-8"?>
<table xmlns="http://schemas.openxmlformats.org/spreadsheetml/2006/main" headerRowCount="0" ref="C86:M86" displayName="Table_121" name="Table_121" id="12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9" showColumnStripes="0" showFirstColumn="1" showLastColumn="1" showRowStripes="1"/>
</table>
</file>

<file path=xl/tables/table122.xml><?xml version="1.0" encoding="utf-8"?>
<table xmlns="http://schemas.openxmlformats.org/spreadsheetml/2006/main" headerRowCount="0" ref="N86" displayName="Table_122" name="Table_122" id="122">
  <tableColumns count="1">
    <tableColumn name="Column1" id="1"/>
  </tableColumns>
  <tableStyleInfo name="BOGOTA-style 80" showColumnStripes="0" showFirstColumn="1" showLastColumn="1" showRowStripes="1"/>
</table>
</file>

<file path=xl/tables/table123.xml><?xml version="1.0" encoding="utf-8"?>
<table xmlns="http://schemas.openxmlformats.org/spreadsheetml/2006/main" headerRowCount="0" ref="C87:M87" displayName="Table_123" name="Table_123" id="12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1" showColumnStripes="0" showFirstColumn="1" showLastColumn="1" showRowStripes="1"/>
</table>
</file>

<file path=xl/tables/table124.xml><?xml version="1.0" encoding="utf-8"?>
<table xmlns="http://schemas.openxmlformats.org/spreadsheetml/2006/main" headerRowCount="0" ref="N87:O87" displayName="Table_124" name="Table_124" id="124">
  <tableColumns count="2">
    <tableColumn name="Column1" id="1"/>
    <tableColumn name="Column2" id="2"/>
  </tableColumns>
  <tableStyleInfo name="BOGOTA-style 82" showColumnStripes="0" showFirstColumn="1" showLastColumn="1" showRowStripes="1"/>
</table>
</file>

<file path=xl/tables/table125.xml><?xml version="1.0" encoding="utf-8"?>
<table xmlns="http://schemas.openxmlformats.org/spreadsheetml/2006/main" headerRowCount="0" ref="Y87" displayName="Table_125" name="Table_125" id="125">
  <tableColumns count="1">
    <tableColumn name="Column1" id="1"/>
  </tableColumns>
  <tableStyleInfo name="BOGOTA-style 83" showColumnStripes="0" showFirstColumn="1" showLastColumn="1" showRowStripes="1"/>
</table>
</file>

<file path=xl/tables/table126.xml><?xml version="1.0" encoding="utf-8"?>
<table xmlns="http://schemas.openxmlformats.org/spreadsheetml/2006/main" headerRowCount="0" ref="C88:M89" displayName="Table_126" name="Table_126" id="12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4" showColumnStripes="0" showFirstColumn="1" showLastColumn="1" showRowStripes="1"/>
</table>
</file>

<file path=xl/tables/table127.xml><?xml version="1.0" encoding="utf-8"?>
<table xmlns="http://schemas.openxmlformats.org/spreadsheetml/2006/main" headerRowCount="0" ref="N88:O88" displayName="Table_127" name="Table_127" id="127">
  <tableColumns count="2">
    <tableColumn name="Column1" id="1"/>
    <tableColumn name="Column2" id="2"/>
  </tableColumns>
  <tableStyleInfo name="BOGOTA-style 85" showColumnStripes="0" showFirstColumn="1" showLastColumn="1" showRowStripes="1"/>
</table>
</file>

<file path=xl/tables/table128.xml><?xml version="1.0" encoding="utf-8"?>
<table xmlns="http://schemas.openxmlformats.org/spreadsheetml/2006/main" headerRowCount="0" ref="Y88" displayName="Table_128" name="Table_128" id="128">
  <tableColumns count="1">
    <tableColumn name="Column1" id="1"/>
  </tableColumns>
  <tableStyleInfo name="BOGOTA-style 86" showColumnStripes="0" showFirstColumn="1" showLastColumn="1" showRowStripes="1"/>
</table>
</file>

<file path=xl/tables/table129.xml><?xml version="1.0" encoding="utf-8"?>
<table xmlns="http://schemas.openxmlformats.org/spreadsheetml/2006/main" headerRowCount="0" ref="N89:O89" displayName="Table_129" name="Table_129" id="129">
  <tableColumns count="2">
    <tableColumn name="Column1" id="1"/>
    <tableColumn name="Column2" id="2"/>
  </tableColumns>
  <tableStyleInfo name="BOGOTA-style 87" showColumnStripes="0" showFirstColumn="1" showLastColumn="1" showRowStripes="1"/>
</table>
</file>

<file path=xl/tables/table130.xml><?xml version="1.0" encoding="utf-8"?>
<table xmlns="http://schemas.openxmlformats.org/spreadsheetml/2006/main" headerRowCount="0" ref="Y89" displayName="Table_130" name="Table_130" id="130">
  <tableColumns count="1">
    <tableColumn name="Column1" id="1"/>
  </tableColumns>
  <tableStyleInfo name="BOGOTA-style 88" showColumnStripes="0" showFirstColumn="1" showLastColumn="1" showRowStripes="1"/>
</table>
</file>

<file path=xl/tables/table131.xml><?xml version="1.0" encoding="utf-8"?>
<table xmlns="http://schemas.openxmlformats.org/spreadsheetml/2006/main" headerRowCount="0" ref="C94:M94" displayName="Table_131" name="Table_131" id="13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9" showColumnStripes="0" showFirstColumn="1" showLastColumn="1" showRowStripes="1"/>
</table>
</file>

<file path=xl/tables/table132.xml><?xml version="1.0" encoding="utf-8"?>
<table xmlns="http://schemas.openxmlformats.org/spreadsheetml/2006/main" headerRowCount="0" ref="N94" displayName="Table_132" name="Table_132" id="132">
  <tableColumns count="1">
    <tableColumn name="Column1" id="1"/>
  </tableColumns>
  <tableStyleInfo name="BOGOTA-style 90" showColumnStripes="0" showFirstColumn="1" showLastColumn="1" showRowStripes="1"/>
</table>
</file>

<file path=xl/tables/table133.xml><?xml version="1.0" encoding="utf-8"?>
<table xmlns="http://schemas.openxmlformats.org/spreadsheetml/2006/main" headerRowCount="0" ref="Y94" displayName="Table_133" name="Table_133" id="133">
  <tableColumns count="1">
    <tableColumn name="Column1" id="1"/>
  </tableColumns>
  <tableStyleInfo name="BOGOTA-style 91" showColumnStripes="0" showFirstColumn="1" showLastColumn="1" showRowStripes="1"/>
</table>
</file>

<file path=xl/tables/table134.xml><?xml version="1.0" encoding="utf-8"?>
<table xmlns="http://schemas.openxmlformats.org/spreadsheetml/2006/main" headerRowCount="0" ref="C96:M98" displayName="Table_134" name="Table_134" id="13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92" showColumnStripes="0" showFirstColumn="1" showLastColumn="1" showRowStripes="1"/>
</table>
</file>

<file path=xl/tables/table135.xml><?xml version="1.0" encoding="utf-8"?>
<table xmlns="http://schemas.openxmlformats.org/spreadsheetml/2006/main" headerRowCount="0" ref="N96:N98" displayName="Table_135" name="Table_135" id="135">
  <tableColumns count="1">
    <tableColumn name="Column1" id="1"/>
  </tableColumns>
  <tableStyleInfo name="BOGOTA-style 93" showColumnStripes="0" showFirstColumn="1" showLastColumn="1" showRowStripes="1"/>
</table>
</file>

<file path=xl/tables/table136.xml><?xml version="1.0" encoding="utf-8"?>
<table xmlns="http://schemas.openxmlformats.org/spreadsheetml/2006/main" headerRowCount="0" ref="Y96" displayName="Table_136" name="Table_136" id="136">
  <tableColumns count="1">
    <tableColumn name="Column1" id="1"/>
  </tableColumns>
  <tableStyleInfo name="BOGOTA-style 94" showColumnStripes="0" showFirstColumn="1" showLastColumn="1" showRowStripes="1"/>
</table>
</file>

<file path=xl/tables/table137.xml><?xml version="1.0" encoding="utf-8"?>
<table xmlns="http://schemas.openxmlformats.org/spreadsheetml/2006/main" headerRowCount="0" ref="C100:M100" displayName="Table_137" name="Table_137" id="13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95" showColumnStripes="0" showFirstColumn="1" showLastColumn="1" showRowStripes="1"/>
</table>
</file>

<file path=xl/tables/table138.xml><?xml version="1.0" encoding="utf-8"?>
<table xmlns="http://schemas.openxmlformats.org/spreadsheetml/2006/main" headerRowCount="0" ref="N100" displayName="Table_138" name="Table_138" id="138">
  <tableColumns count="1">
    <tableColumn name="Column1" id="1"/>
  </tableColumns>
  <tableStyleInfo name="BOGOTA-style 96" showColumnStripes="0" showFirstColumn="1" showLastColumn="1" showRowStripes="1"/>
</table>
</file>

<file path=xl/tables/table139.xml><?xml version="1.0" encoding="utf-8"?>
<table xmlns="http://schemas.openxmlformats.org/spreadsheetml/2006/main" headerRowCount="0" ref="Y100" displayName="Table_139" name="Table_139" id="139">
  <tableColumns count="1">
    <tableColumn name="Column1" id="1"/>
  </tableColumns>
  <tableStyleInfo name="BOGOTA-style 97" showColumnStripes="0" showFirstColumn="1" showLastColumn="1" showRowStripes="1"/>
</table>
</file>

<file path=xl/tables/table140.xml><?xml version="1.0" encoding="utf-8"?>
<table xmlns="http://schemas.openxmlformats.org/spreadsheetml/2006/main" headerRowCount="0" ref="C101:N101" displayName="Table_140" name="Table_140" id="14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98" showColumnStripes="0" showFirstColumn="1" showLastColumn="1" showRowStripes="1"/>
</table>
</file>

<file path=xl/tables/table141.xml><?xml version="1.0" encoding="utf-8"?>
<table xmlns="http://schemas.openxmlformats.org/spreadsheetml/2006/main" headerRowCount="0" ref="C102:M105" displayName="Table_141" name="Table_141" id="14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99" showColumnStripes="0" showFirstColumn="1" showLastColumn="1" showRowStripes="1"/>
</table>
</file>

<file path=xl/tables/table142.xml><?xml version="1.0" encoding="utf-8"?>
<table xmlns="http://schemas.openxmlformats.org/spreadsheetml/2006/main" headerRowCount="0" ref="N102:N105" displayName="Table_142" name="Table_142" id="142">
  <tableColumns count="1">
    <tableColumn name="Column1" id="1"/>
  </tableColumns>
  <tableStyleInfo name="BOGOTA-style 100" showColumnStripes="0" showFirstColumn="1" showLastColumn="1" showRowStripes="1"/>
</table>
</file>

<file path=xl/tables/table143.xml><?xml version="1.0" encoding="utf-8"?>
<table xmlns="http://schemas.openxmlformats.org/spreadsheetml/2006/main" headerRowCount="0" ref="Y102" displayName="Table_143" name="Table_143" id="143">
  <tableColumns count="1">
    <tableColumn name="Column1" id="1"/>
  </tableColumns>
  <tableStyleInfo name="BOGOTA-style 101" showColumnStripes="0" showFirstColumn="1" showLastColumn="1" showRowStripes="1"/>
</table>
</file>

<file path=xl/tables/table144.xml><?xml version="1.0" encoding="utf-8"?>
<table xmlns="http://schemas.openxmlformats.org/spreadsheetml/2006/main" headerRowCount="0" ref="C106:M109" displayName="Table_144" name="Table_144" id="14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2" showColumnStripes="0" showFirstColumn="1" showLastColumn="1" showRowStripes="1"/>
</table>
</file>

<file path=xl/tables/table145.xml><?xml version="1.0" encoding="utf-8"?>
<table xmlns="http://schemas.openxmlformats.org/spreadsheetml/2006/main" headerRowCount="0" ref="N106:N109" displayName="Table_145" name="Table_145" id="145">
  <tableColumns count="1">
    <tableColumn name="Column1" id="1"/>
  </tableColumns>
  <tableStyleInfo name="BOGOTA-style 103" showColumnStripes="0" showFirstColumn="1" showLastColumn="1" showRowStripes="1"/>
</table>
</file>

<file path=xl/tables/table146.xml><?xml version="1.0" encoding="utf-8"?>
<table xmlns="http://schemas.openxmlformats.org/spreadsheetml/2006/main" headerRowCount="0" ref="C110:N110" displayName="Table_146" name="Table_146" id="14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4" showColumnStripes="0" showFirstColumn="1" showLastColumn="1" showRowStripes="1"/>
</table>
</file>

<file path=xl/tables/table147.xml><?xml version="1.0" encoding="utf-8"?>
<table xmlns="http://schemas.openxmlformats.org/spreadsheetml/2006/main" headerRowCount="0" ref="C114:N114" displayName="Table_147" name="Table_147" id="14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5" showColumnStripes="0" showFirstColumn="1" showLastColumn="1" showRowStripes="1"/>
</table>
</file>

<file path=xl/tables/table148.xml><?xml version="1.0" encoding="utf-8"?>
<table xmlns="http://schemas.openxmlformats.org/spreadsheetml/2006/main" headerRowCount="0" ref="C115:N115" displayName="Table_148" name="Table_148" id="14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6" showColumnStripes="0" showFirstColumn="1" showLastColumn="1" showRowStripes="1"/>
</table>
</file>

<file path=xl/tables/table149.xml><?xml version="1.0" encoding="utf-8"?>
<table xmlns="http://schemas.openxmlformats.org/spreadsheetml/2006/main" headerRowCount="0" ref="C117:M117" displayName="Table_149" name="Table_149" id="14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7" showColumnStripes="0" showFirstColumn="1" showLastColumn="1" showRowStripes="1"/>
</table>
</file>

<file path=xl/tables/table150.xml><?xml version="1.0" encoding="utf-8"?>
<table xmlns="http://schemas.openxmlformats.org/spreadsheetml/2006/main" headerRowCount="0" ref="N117" displayName="Table_150" name="Table_150" id="150">
  <tableColumns count="1">
    <tableColumn name="Column1" id="1"/>
  </tableColumns>
  <tableStyleInfo name="BOGOTA-style 108" showColumnStripes="0" showFirstColumn="1" showLastColumn="1" showRowStripes="1"/>
</table>
</file>

<file path=xl/tables/table151.xml><?xml version="1.0" encoding="utf-8"?>
<table xmlns="http://schemas.openxmlformats.org/spreadsheetml/2006/main" headerRowCount="0" ref="C118:N118" displayName="Table_151" name="Table_151" id="15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9" showColumnStripes="0" showFirstColumn="1" showLastColumn="1" showRowStripes="1"/>
</table>
</file>

<file path=xl/tables/table152.xml><?xml version="1.0" encoding="utf-8"?>
<table xmlns="http://schemas.openxmlformats.org/spreadsheetml/2006/main" headerRowCount="0" ref="C119:N119" displayName="Table_152" name="Table_152" id="1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0" showColumnStripes="0" showFirstColumn="1" showLastColumn="1" showRowStripes="1"/>
</table>
</file>

<file path=xl/tables/table153.xml><?xml version="1.0" encoding="utf-8"?>
<table xmlns="http://schemas.openxmlformats.org/spreadsheetml/2006/main" headerRowCount="0" ref="C122:N122" displayName="Table_153" name="Table_153" id="15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1" showColumnStripes="0" showFirstColumn="1" showLastColumn="1" showRowStripes="1"/>
</table>
</file>

<file path=xl/tables/table154.xml><?xml version="1.0" encoding="utf-8"?>
<table xmlns="http://schemas.openxmlformats.org/spreadsheetml/2006/main" headerRowCount="0" ref="C123:N123" displayName="Table_154" name="Table_154" id="15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2" showColumnStripes="0" showFirstColumn="1" showLastColumn="1" showRowStripes="1"/>
</table>
</file>

<file path=xl/tables/table155.xml><?xml version="1.0" encoding="utf-8"?>
<table xmlns="http://schemas.openxmlformats.org/spreadsheetml/2006/main" headerRowCount="0" ref="C124:M125" displayName="Table_155" name="Table_155" id="15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13" showColumnStripes="0" showFirstColumn="1" showLastColumn="1" showRowStripes="1"/>
</table>
</file>

<file path=xl/tables/table156.xml><?xml version="1.0" encoding="utf-8"?>
<table xmlns="http://schemas.openxmlformats.org/spreadsheetml/2006/main" headerRowCount="0" ref="N124:N125" displayName="Table_156" name="Table_156" id="156">
  <tableColumns count="1">
    <tableColumn name="Column1" id="1"/>
  </tableColumns>
  <tableStyleInfo name="BOGOTA-style 114" showColumnStripes="0" showFirstColumn="1" showLastColumn="1" showRowStripes="1"/>
</table>
</file>

<file path=xl/tables/table157.xml><?xml version="1.0" encoding="utf-8"?>
<table xmlns="http://schemas.openxmlformats.org/spreadsheetml/2006/main" headerRowCount="0" ref="C126:N128" displayName="Table_157" name="Table_157" id="15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5" showColumnStripes="0" showFirstColumn="1" showLastColumn="1" showRowStripes="1"/>
</table>
</file>

<file path=xl/tables/table158.xml><?xml version="1.0" encoding="utf-8"?>
<table xmlns="http://schemas.openxmlformats.org/spreadsheetml/2006/main" headerRowCount="0" ref="C129:M132" displayName="Table_158" name="Table_158" id="15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16" showColumnStripes="0" showFirstColumn="1" showLastColumn="1" showRowStripes="1"/>
</table>
</file>

<file path=xl/tables/table159.xml><?xml version="1.0" encoding="utf-8"?>
<table xmlns="http://schemas.openxmlformats.org/spreadsheetml/2006/main" headerRowCount="0" ref="C133:M133" displayName="Table_159" name="Table_159" id="15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17" showColumnStripes="0" showFirstColumn="1" showLastColumn="1" showRowStripes="1"/>
</table>
</file>

<file path=xl/tables/table160.xml><?xml version="1.0" encoding="utf-8"?>
<table xmlns="http://schemas.openxmlformats.org/spreadsheetml/2006/main" headerRowCount="0" ref="N133" displayName="Table_160" name="Table_160" id="160">
  <tableColumns count="1">
    <tableColumn name="Column1" id="1"/>
  </tableColumns>
  <tableStyleInfo name="BOGOTA-style 118" showColumnStripes="0" showFirstColumn="1" showLastColumn="1" showRowStripes="1"/>
</table>
</file>

<file path=xl/tables/table161.xml><?xml version="1.0" encoding="utf-8"?>
<table xmlns="http://schemas.openxmlformats.org/spreadsheetml/2006/main" headerRowCount="0" ref="C138:N138" displayName="Table_161" name="Table_161" id="1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9" showColumnStripes="0" showFirstColumn="1" showLastColumn="1" showRowStripes="1"/>
</table>
</file>

<file path=xl/tables/table162.xml><?xml version="1.0" encoding="utf-8"?>
<table xmlns="http://schemas.openxmlformats.org/spreadsheetml/2006/main" headerRowCount="0" ref="C139:M139" displayName="Table_162" name="Table_162" id="16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20" showColumnStripes="0" showFirstColumn="1" showLastColumn="1" showRowStripes="1"/>
</table>
</file>

<file path=xl/tables/table163.xml><?xml version="1.0" encoding="utf-8"?>
<table xmlns="http://schemas.openxmlformats.org/spreadsheetml/2006/main" headerRowCount="0" ref="C141:N141" displayName="Table_163" name="Table_163" id="16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1" showColumnStripes="0" showFirstColumn="1" showLastColumn="1" showRowStripes="1"/>
</table>
</file>

<file path=xl/tables/table164.xml><?xml version="1.0" encoding="utf-8"?>
<table xmlns="http://schemas.openxmlformats.org/spreadsheetml/2006/main" headerRowCount="0" ref="C144:N160" displayName="Table_164" name="Table_164" id="1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2" showColumnStripes="0" showFirstColumn="1" showLastColumn="1" showRowStripes="1"/>
</table>
</file>

<file path=xl/tables/table165.xml><?xml version="1.0" encoding="utf-8"?>
<table xmlns="http://schemas.openxmlformats.org/spreadsheetml/2006/main" headerRowCount="0" ref="C161:N161" displayName="Table_165" name="Table_165" id="1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3" showColumnStripes="0" showFirstColumn="1" showLastColumn="1" showRowStripes="1"/>
</table>
</file>

<file path=xl/tables/table166.xml><?xml version="1.0" encoding="utf-8"?>
<table xmlns="http://schemas.openxmlformats.org/spreadsheetml/2006/main" headerRowCount="0" ref="C162:D162" displayName="Table_166" name="Table_166" id="166">
  <tableColumns count="2">
    <tableColumn name="Column1" id="1"/>
    <tableColumn name="Column2" id="2"/>
  </tableColumns>
  <tableStyleInfo name="BOGOTA-style 124" showColumnStripes="0" showFirstColumn="1" showLastColumn="1" showRowStripes="1"/>
</table>
</file>

<file path=xl/tables/table167.xml><?xml version="1.0" encoding="utf-8"?>
<table xmlns="http://schemas.openxmlformats.org/spreadsheetml/2006/main" headerRowCount="0" ref="C163:M166" displayName="Table_167" name="Table_167" id="16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25" showColumnStripes="0" showFirstColumn="1" showLastColumn="1" showRowStripes="1"/>
</table>
</file>

<file path=xl/tables/table168.xml><?xml version="1.0" encoding="utf-8"?>
<table xmlns="http://schemas.openxmlformats.org/spreadsheetml/2006/main" headerRowCount="0" ref="N163:N167" displayName="Table_168" name="Table_168" id="168">
  <tableColumns count="1">
    <tableColumn name="Column1" id="1"/>
  </tableColumns>
  <tableStyleInfo name="BOGOTA-style 126" showColumnStripes="0" showFirstColumn="1" showLastColumn="1" showRowStripes="1"/>
</table>
</file>

<file path=xl/tables/table169.xml><?xml version="1.0" encoding="utf-8"?>
<table xmlns="http://schemas.openxmlformats.org/spreadsheetml/2006/main" headerRowCount="0" ref="Y163" displayName="Table_169" name="Table_169" id="169">
  <tableColumns count="1">
    <tableColumn name="Column1" id="1"/>
  </tableColumns>
  <tableStyleInfo name="BOGOTA-style 127" showColumnStripes="0" showFirstColumn="1" showLastColumn="1" showRowStripes="1"/>
</table>
</file>

<file path=xl/tables/table170.xml><?xml version="1.0" encoding="utf-8"?>
<table xmlns="http://schemas.openxmlformats.org/spreadsheetml/2006/main" headerRowCount="0" ref="C167:D167" displayName="Table_170" name="Table_170" id="170">
  <tableColumns count="2">
    <tableColumn name="Column1" id="1"/>
    <tableColumn name="Column2" id="2"/>
  </tableColumns>
  <tableStyleInfo name="BOGOTA-style 128" showColumnStripes="0" showFirstColumn="1" showLastColumn="1" showRowStripes="1"/>
</table>
</file>

<file path=xl/tables/table171.xml><?xml version="1.0" encoding="utf-8"?>
<table xmlns="http://schemas.openxmlformats.org/spreadsheetml/2006/main" headerRowCount="0" ref="M167" displayName="Table_171" name="Table_171" id="171">
  <tableColumns count="1">
    <tableColumn name="Column1" id="1"/>
  </tableColumns>
  <tableStyleInfo name="BOGOTA-style 129" showColumnStripes="0" showFirstColumn="1" showLastColumn="1" showRowStripes="1"/>
</table>
</file>

<file path=xl/tables/table172.xml><?xml version="1.0" encoding="utf-8"?>
<table xmlns="http://schemas.openxmlformats.org/spreadsheetml/2006/main" headerRowCount="0" ref="Y167" displayName="Table_172" name="Table_172" id="172">
  <tableColumns count="1">
    <tableColumn name="Column1" id="1"/>
  </tableColumns>
  <tableStyleInfo name="BOGOTA-style 130" showColumnStripes="0" showFirstColumn="1" showLastColumn="1" showRowStripes="1"/>
</table>
</file>

<file path=xl/tables/table173.xml><?xml version="1.0" encoding="utf-8"?>
<table xmlns="http://schemas.openxmlformats.org/spreadsheetml/2006/main" headerRowCount="0" ref="C168:N168" displayName="Table_173" name="Table_173" id="1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1" showColumnStripes="0" showFirstColumn="1" showLastColumn="1" showRowStripes="1"/>
</table>
</file>

<file path=xl/tables/table174.xml><?xml version="1.0" encoding="utf-8"?>
<table xmlns="http://schemas.openxmlformats.org/spreadsheetml/2006/main" headerRowCount="0" ref="C169:N169" displayName="Table_174" name="Table_174" id="17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2" showColumnStripes="0" showFirstColumn="1" showLastColumn="1" showRowStripes="1"/>
</table>
</file>

<file path=xl/tables/table175.xml><?xml version="1.0" encoding="utf-8"?>
<table xmlns="http://schemas.openxmlformats.org/spreadsheetml/2006/main" headerRowCount="0" ref="Y169" displayName="Table_175" name="Table_175" id="175">
  <tableColumns count="1">
    <tableColumn name="Column1" id="1"/>
  </tableColumns>
  <tableStyleInfo name="BOGOTA-style 133" showColumnStripes="0" showFirstColumn="1" showLastColumn="1" showRowStripes="1"/>
</table>
</file>

<file path=xl/tables/table176.xml><?xml version="1.0" encoding="utf-8"?>
<table xmlns="http://schemas.openxmlformats.org/spreadsheetml/2006/main" headerRowCount="0" ref="C171:N171" displayName="Table_176" name="Table_176" id="17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4" showColumnStripes="0" showFirstColumn="1" showLastColumn="1" showRowStripes="1"/>
</table>
</file>

<file path=xl/tables/table177.xml><?xml version="1.0" encoding="utf-8"?>
<table xmlns="http://schemas.openxmlformats.org/spreadsheetml/2006/main" headerRowCount="0" ref="Y171" displayName="Table_177" name="Table_177" id="177">
  <tableColumns count="1">
    <tableColumn name="Column1" id="1"/>
  </tableColumns>
  <tableStyleInfo name="BOGOTA-style 135" showColumnStripes="0" showFirstColumn="1" showLastColumn="1" showRowStripes="1"/>
</table>
</file>

<file path=xl/tables/table178.xml><?xml version="1.0" encoding="utf-8"?>
<table xmlns="http://schemas.openxmlformats.org/spreadsheetml/2006/main" headerRowCount="0" ref="C172:M172" displayName="Table_178" name="Table_178" id="17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36" showColumnStripes="0" showFirstColumn="1" showLastColumn="1" showRowStripes="1"/>
</table>
</file>

<file path=xl/tables/table179.xml><?xml version="1.0" encoding="utf-8"?>
<table xmlns="http://schemas.openxmlformats.org/spreadsheetml/2006/main" headerRowCount="0" ref="N172" displayName="Table_179" name="Table_179" id="179">
  <tableColumns count="1">
    <tableColumn name="Column1" id="1"/>
  </tableColumns>
  <tableStyleInfo name="BOGOTA-style 137" showColumnStripes="0" showFirstColumn="1" showLastColumn="1" showRowStripes="1"/>
</table>
</file>

<file path=xl/tables/table180.xml><?xml version="1.0" encoding="utf-8"?>
<table xmlns="http://schemas.openxmlformats.org/spreadsheetml/2006/main" headerRowCount="0" ref="Y172" displayName="Table_180" name="Table_180" id="180">
  <tableColumns count="1">
    <tableColumn name="Column1" id="1"/>
  </tableColumns>
  <tableStyleInfo name="BOGOTA-style 138" showColumnStripes="0" showFirstColumn="1" showLastColumn="1" showRowStripes="1"/>
</table>
</file>

<file path=xl/tables/table181.xml><?xml version="1.0" encoding="utf-8"?>
<table xmlns="http://schemas.openxmlformats.org/spreadsheetml/2006/main" headerRowCount="0" ref="C173:M173" displayName="Table_181" name="Table_181" id="18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39" showColumnStripes="0" showFirstColumn="1" showLastColumn="1" showRowStripes="1"/>
</table>
</file>

<file path=xl/tables/table182.xml><?xml version="1.0" encoding="utf-8"?>
<table xmlns="http://schemas.openxmlformats.org/spreadsheetml/2006/main" headerRowCount="0" ref="N173" displayName="Table_182" name="Table_182" id="182">
  <tableColumns count="1">
    <tableColumn name="Column1" id="1"/>
  </tableColumns>
  <tableStyleInfo name="BOGOTA-style 140" showColumnStripes="0" showFirstColumn="1" showLastColumn="1" showRowStripes="1"/>
</table>
</file>

<file path=xl/tables/table183.xml><?xml version="1.0" encoding="utf-8"?>
<table xmlns="http://schemas.openxmlformats.org/spreadsheetml/2006/main" headerRowCount="0" ref="Y173" displayName="Table_183" name="Table_183" id="183">
  <tableColumns count="1">
    <tableColumn name="Column1" id="1"/>
  </tableColumns>
  <tableStyleInfo name="BOGOTA-style 141" showColumnStripes="0" showFirstColumn="1" showLastColumn="1" showRowStripes="1"/>
</table>
</file>

<file path=xl/tables/table184.xml><?xml version="1.0" encoding="utf-8"?>
<table xmlns="http://schemas.openxmlformats.org/spreadsheetml/2006/main" headerRowCount="0" ref="C174:M174" displayName="Table_184" name="Table_184" id="18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42" showColumnStripes="0" showFirstColumn="1" showLastColumn="1" showRowStripes="1"/>
</table>
</file>

<file path=xl/tables/table185.xml><?xml version="1.0" encoding="utf-8"?>
<table xmlns="http://schemas.openxmlformats.org/spreadsheetml/2006/main" headerRowCount="0" ref="N174" displayName="Table_185" name="Table_185" id="185">
  <tableColumns count="1">
    <tableColumn name="Column1" id="1"/>
  </tableColumns>
  <tableStyleInfo name="BOGOTA-style 143" showColumnStripes="0" showFirstColumn="1" showLastColumn="1" showRowStripes="1"/>
</table>
</file>

<file path=xl/tables/table186.xml><?xml version="1.0" encoding="utf-8"?>
<table xmlns="http://schemas.openxmlformats.org/spreadsheetml/2006/main" headerRowCount="0" ref="C175:N175" displayName="Table_186" name="Table_186" id="18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44" showColumnStripes="0" showFirstColumn="1" showLastColumn="1" showRowStripes="1"/>
</table>
</file>

<file path=xl/tables/table187.xml><?xml version="1.0" encoding="utf-8"?>
<table xmlns="http://schemas.openxmlformats.org/spreadsheetml/2006/main" headerRowCount="0" ref="Y175" displayName="Table_187" name="Table_187" id="187">
  <tableColumns count="1">
    <tableColumn name="Column1" id="1"/>
  </tableColumns>
  <tableStyleInfo name="BOGOTA-style 145" showColumnStripes="0" showFirstColumn="1" showLastColumn="1" showRowStripes="1"/>
</table>
</file>

<file path=xl/tables/table188.xml><?xml version="1.0" encoding="utf-8"?>
<table xmlns="http://schemas.openxmlformats.org/spreadsheetml/2006/main" headerRowCount="0" ref="C176:M176" displayName="Table_188" name="Table_188" id="18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46" showColumnStripes="0" showFirstColumn="1" showLastColumn="1" showRowStripes="1"/>
</table>
</file>

<file path=xl/tables/table189.xml><?xml version="1.0" encoding="utf-8"?>
<table xmlns="http://schemas.openxmlformats.org/spreadsheetml/2006/main" headerRowCount="0" ref="N176" displayName="Table_189" name="Table_189" id="189">
  <tableColumns count="1">
    <tableColumn name="Column1" id="1"/>
  </tableColumns>
  <tableStyleInfo name="BOGOTA-style 147" showColumnStripes="0" showFirstColumn="1" showLastColumn="1" showRowStripes="1"/>
</table>
</file>

<file path=xl/tables/table190.xml><?xml version="1.0" encoding="utf-8"?>
<table xmlns="http://schemas.openxmlformats.org/spreadsheetml/2006/main" headerRowCount="0" ref="C177:N179" displayName="Table_190" name="Table_190" id="19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48" showColumnStripes="0" showFirstColumn="1" showLastColumn="1" showRowStripes="1"/>
</table>
</file>

<file path=xl/tables/table191.xml><?xml version="1.0" encoding="utf-8"?>
<table xmlns="http://schemas.openxmlformats.org/spreadsheetml/2006/main" headerRowCount="0" ref="Y179" displayName="Table_191" name="Table_191" id="191">
  <tableColumns count="1">
    <tableColumn name="Column1" id="1"/>
  </tableColumns>
  <tableStyleInfo name="BOGOTA-style 149" showColumnStripes="0" showFirstColumn="1" showLastColumn="1" showRowStripes="1"/>
</table>
</file>

<file path=xl/tables/table192.xml><?xml version="1.0" encoding="utf-8"?>
<table xmlns="http://schemas.openxmlformats.org/spreadsheetml/2006/main" headerRowCount="0" ref="C180:M183" displayName="Table_192" name="Table_192" id="19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50" showColumnStripes="0" showFirstColumn="1" showLastColumn="1" showRowStripes="1"/>
</table>
</file>

<file path=xl/tables/table193.xml><?xml version="1.0" encoding="utf-8"?>
<table xmlns="http://schemas.openxmlformats.org/spreadsheetml/2006/main" headerRowCount="0" ref="Y180" displayName="Table_193" name="Table_193" id="193">
  <tableColumns count="1">
    <tableColumn name="Column1" id="1"/>
  </tableColumns>
  <tableStyleInfo name="BOGOTA-style 151" showColumnStripes="0" showFirstColumn="1" showLastColumn="1" showRowStripes="1"/>
</table>
</file>

<file path=xl/tables/table194.xml><?xml version="1.0" encoding="utf-8"?>
<table xmlns="http://schemas.openxmlformats.org/spreadsheetml/2006/main" headerRowCount="0" ref="C184:M184" displayName="Table_194" name="Table_194" id="19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52" showColumnStripes="0" showFirstColumn="1" showLastColumn="1" showRowStripes="1"/>
</table>
</file>

<file path=xl/tables/table195.xml><?xml version="1.0" encoding="utf-8"?>
<table xmlns="http://schemas.openxmlformats.org/spreadsheetml/2006/main" headerRowCount="0" ref="N184:N188" displayName="Table_195" name="Table_195" id="195">
  <tableColumns count="1">
    <tableColumn name="Column1" id="1"/>
  </tableColumns>
  <tableStyleInfo name="BOGOTA-style 153" showColumnStripes="0" showFirstColumn="1" showLastColumn="1" showRowStripes="1"/>
</table>
</file>

<file path=xl/tables/table196.xml><?xml version="1.0" encoding="utf-8"?>
<table xmlns="http://schemas.openxmlformats.org/spreadsheetml/2006/main" headerRowCount="0" ref="Y184" displayName="Table_196" name="Table_196" id="196">
  <tableColumns count="1">
    <tableColumn name="Column1" id="1"/>
  </tableColumns>
  <tableStyleInfo name="BOGOTA-style 154" showColumnStripes="0" showFirstColumn="1" showLastColumn="1" showRowStripes="1"/>
</table>
</file>

<file path=xl/tables/table197.xml><?xml version="1.0" encoding="utf-8"?>
<table xmlns="http://schemas.openxmlformats.org/spreadsheetml/2006/main" headerRowCount="0" ref="C185:D189" displayName="Table_197" name="Table_197" id="197">
  <tableColumns count="2">
    <tableColumn name="Column1" id="1"/>
    <tableColumn name="Column2" id="2"/>
  </tableColumns>
  <tableStyleInfo name="BOGOTA-style 155" showColumnStripes="0" showFirstColumn="1" showLastColumn="1" showRowStripes="1"/>
</table>
</file>

<file path=xl/tables/table198.xml><?xml version="1.0" encoding="utf-8"?>
<table xmlns="http://schemas.openxmlformats.org/spreadsheetml/2006/main" headerRowCount="0" ref="N189" displayName="Table_198" name="Table_198" id="198">
  <tableColumns count="1">
    <tableColumn name="Column1" id="1"/>
  </tableColumns>
  <tableStyleInfo name="BOGOTA-style 156" showColumnStripes="0" showFirstColumn="1" showLastColumn="1" showRowStripes="1"/>
</table>
</file>

<file path=xl/tables/table199.xml><?xml version="1.0" encoding="utf-8"?>
<table xmlns="http://schemas.openxmlformats.org/spreadsheetml/2006/main" headerRowCount="0" ref="Y189" displayName="Table_199" name="Table_199" id="199">
  <tableColumns count="1">
    <tableColumn name="Column1" id="1"/>
  </tableColumns>
  <tableStyleInfo name="BOGOTA-style 157" showColumnStripes="0" showFirstColumn="1" showLastColumn="1" showRowStripes="1"/>
</table>
</file>

<file path=xl/tables/table200.xml><?xml version="1.0" encoding="utf-8"?>
<table xmlns="http://schemas.openxmlformats.org/spreadsheetml/2006/main" headerRowCount="0" ref="C190:D190" displayName="Table_200" name="Table_200" id="200">
  <tableColumns count="2">
    <tableColumn name="Column1" id="1"/>
    <tableColumn name="Column2" id="2"/>
  </tableColumns>
  <tableStyleInfo name="BOGOTA-style 158" showColumnStripes="0" showFirstColumn="1" showLastColumn="1" showRowStripes="1"/>
</table>
</file>

<file path=xl/tables/table201.xml><?xml version="1.0" encoding="utf-8"?>
<table xmlns="http://schemas.openxmlformats.org/spreadsheetml/2006/main" headerRowCount="0" ref="C191:H191" displayName="Table_201" name="Table_201" id="2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59" showColumnStripes="0" showFirstColumn="1" showLastColumn="1" showRowStripes="1"/>
</table>
</file>

<file path=xl/tables/table202.xml><?xml version="1.0" encoding="utf-8"?>
<table xmlns="http://schemas.openxmlformats.org/spreadsheetml/2006/main" headerRowCount="0" ref="C192:H192" displayName="Table_202" name="Table_202" id="2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60" showColumnStripes="0" showFirstColumn="1" showLastColumn="1" showRowStripes="1"/>
</table>
</file>

<file path=xl/tables/table203.xml><?xml version="1.0" encoding="utf-8"?>
<table xmlns="http://schemas.openxmlformats.org/spreadsheetml/2006/main" headerRowCount="0" ref="C193:N193" displayName="Table_203" name="Table_203" id="20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1" showColumnStripes="0" showFirstColumn="1" showLastColumn="1" showRowStripes="1"/>
</table>
</file>

<file path=xl/tables/table204.xml><?xml version="1.0" encoding="utf-8"?>
<table xmlns="http://schemas.openxmlformats.org/spreadsheetml/2006/main" headerRowCount="0" ref="Y193" displayName="Table_204" name="Table_204" id="204">
  <tableColumns count="1">
    <tableColumn name="Column1" id="1"/>
  </tableColumns>
  <tableStyleInfo name="BOGOTA-style 162" showColumnStripes="0" showFirstColumn="1" showLastColumn="1" showRowStripes="1"/>
</table>
</file>

<file path=xl/tables/table205.xml><?xml version="1.0" encoding="utf-8"?>
<table xmlns="http://schemas.openxmlformats.org/spreadsheetml/2006/main" headerRowCount="0" ref="C194:N194" displayName="Table_205" name="Table_205" id="20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3" showColumnStripes="0" showFirstColumn="1" showLastColumn="1" showRowStripes="1"/>
</table>
</file>

<file path=xl/tables/table206.xml><?xml version="1.0" encoding="utf-8"?>
<table xmlns="http://schemas.openxmlformats.org/spreadsheetml/2006/main" headerRowCount="0" ref="C196:O201" displayName="Table_206" name="Table_206" id="20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64" showColumnStripes="0" showFirstColumn="1" showLastColumn="1" showRowStripes="1"/>
</table>
</file>

<file path=xl/tables/table207.xml><?xml version="1.0" encoding="utf-8"?>
<table xmlns="http://schemas.openxmlformats.org/spreadsheetml/2006/main" headerRowCount="0" ref="Y197" displayName="Table_207" name="Table_207" id="207">
  <tableColumns count="1">
    <tableColumn name="Column1" id="1"/>
  </tableColumns>
  <tableStyleInfo name="BOGOTA-style 165" showColumnStripes="0" showFirstColumn="1" showLastColumn="1" showRowStripes="1"/>
</table>
</file>

<file path=xl/tables/table208.xml><?xml version="1.0" encoding="utf-8"?>
<table xmlns="http://schemas.openxmlformats.org/spreadsheetml/2006/main" headerRowCount="0" ref="Y200" displayName="Table_208" name="Table_208" id="208">
  <tableColumns count="1">
    <tableColumn name="Column1" id="1"/>
  </tableColumns>
  <tableStyleInfo name="BOGOTA-style 166" showColumnStripes="0" showFirstColumn="1" showLastColumn="1" showRowStripes="1"/>
</table>
</file>

<file path=xl/tables/table209.xml><?xml version="1.0" encoding="utf-8"?>
<table xmlns="http://schemas.openxmlformats.org/spreadsheetml/2006/main" headerRowCount="0" ref="C202:O203" displayName="Table_209" name="Table_209" id="20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67" showColumnStripes="0" showFirstColumn="1" showLastColumn="1" showRowStripes="1"/>
</table>
</file>

<file path=xl/tables/table210.xml><?xml version="1.0" encoding="utf-8"?>
<table xmlns="http://schemas.openxmlformats.org/spreadsheetml/2006/main" headerRowCount="0" ref="Y203" displayName="Table_210" name="Table_210" id="210">
  <tableColumns count="1">
    <tableColumn name="Column1" id="1"/>
  </tableColumns>
  <tableStyleInfo name="BOGOTA-style 168" showColumnStripes="0" showFirstColumn="1" showLastColumn="1" showRowStripes="1"/>
</table>
</file>

<file path=xl/tables/table211.xml><?xml version="1.0" encoding="utf-8"?>
<table xmlns="http://schemas.openxmlformats.org/spreadsheetml/2006/main" headerRowCount="0" ref="C232:M232" displayName="Table_211" name="Table_211" id="2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69" showColumnStripes="0" showFirstColumn="1" showLastColumn="1" showRowStripes="1"/>
</table>
</file>

<file path=xl/tables/table212.xml><?xml version="1.0" encoding="utf-8"?>
<table xmlns="http://schemas.openxmlformats.org/spreadsheetml/2006/main" headerRowCount="0" ref="N232" displayName="Table_212" name="Table_212" id="212">
  <tableColumns count="1">
    <tableColumn name="Column1" id="1"/>
  </tableColumns>
  <tableStyleInfo name="BOGOTA-style 170" showColumnStripes="0" showFirstColumn="1" showLastColumn="1" showRowStripes="1"/>
</table>
</file>

<file path=xl/tables/table213.xml><?xml version="1.0" encoding="utf-8"?>
<table xmlns="http://schemas.openxmlformats.org/spreadsheetml/2006/main" headerRowCount="0" ref="C233:H235" displayName="Table_213" name="Table_213" id="2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1" showColumnStripes="0" showFirstColumn="1" showLastColumn="1" showRowStripes="1"/>
</table>
</file>

<file path=xl/tables/table214.xml><?xml version="1.0" encoding="utf-8"?>
<table xmlns="http://schemas.openxmlformats.org/spreadsheetml/2006/main" headerRowCount="0" ref="N233:N235" displayName="Table_214" name="Table_214" id="214">
  <tableColumns count="1">
    <tableColumn name="Column1" id="1"/>
  </tableColumns>
  <tableStyleInfo name="BOGOTA-style 172" showColumnStripes="0" showFirstColumn="1" showLastColumn="1" showRowStripes="1"/>
</table>
</file>

<file path=xl/tables/table215.xml><?xml version="1.0" encoding="utf-8"?>
<table xmlns="http://schemas.openxmlformats.org/spreadsheetml/2006/main" headerRowCount="0" ref="C237:H237" displayName="Table_215" name="Table_215" id="2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3" showColumnStripes="0" showFirstColumn="1" showLastColumn="1" showRowStripes="1"/>
</table>
</file>

<file path=xl/tables/table216.xml><?xml version="1.0" encoding="utf-8"?>
<table xmlns="http://schemas.openxmlformats.org/spreadsheetml/2006/main" headerRowCount="0" ref="N237" displayName="Table_216" name="Table_216" id="216">
  <tableColumns count="1">
    <tableColumn name="Column1" id="1"/>
  </tableColumns>
  <tableStyleInfo name="BOGOTA-style 174" showColumnStripes="0" showFirstColumn="1" showLastColumn="1" showRowStripes="1"/>
</table>
</file>

<file path=xl/tables/table217.xml><?xml version="1.0" encoding="utf-8"?>
<table xmlns="http://schemas.openxmlformats.org/spreadsheetml/2006/main" headerRowCount="0" ref="C240:H241" displayName="Table_217" name="Table_217" id="2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5" showColumnStripes="0" showFirstColumn="1" showLastColumn="1" showRowStripes="1"/>
</table>
</file>

<file path=xl/tables/table218.xml><?xml version="1.0" encoding="utf-8"?>
<table xmlns="http://schemas.openxmlformats.org/spreadsheetml/2006/main" headerRowCount="0" ref="N240:N241" displayName="Table_218" name="Table_218" id="218">
  <tableColumns count="1">
    <tableColumn name="Column1" id="1"/>
  </tableColumns>
  <tableStyleInfo name="BOGOTA-style 176" showColumnStripes="0" showFirstColumn="1" showLastColumn="1" showRowStripes="1"/>
</table>
</file>

<file path=xl/tables/table219.xml><?xml version="1.0" encoding="utf-8"?>
<table xmlns="http://schemas.openxmlformats.org/spreadsheetml/2006/main" headerRowCount="0" ref="C242:H242" displayName="Table_219" name="Table_219" id="2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7" showColumnStripes="0" showFirstColumn="1" showLastColumn="1" showRowStripes="1"/>
</table>
</file>

<file path=xl/tables/table220.xml><?xml version="1.0" encoding="utf-8"?>
<table xmlns="http://schemas.openxmlformats.org/spreadsheetml/2006/main" headerRowCount="0" ref="N242" displayName="Table_220" name="Table_220" id="220">
  <tableColumns count="1">
    <tableColumn name="Column1" id="1"/>
  </tableColumns>
  <tableStyleInfo name="BOGOTA-style 178" showColumnStripes="0" showFirstColumn="1" showLastColumn="1" showRowStripes="1"/>
</table>
</file>

<file path=xl/tables/table221.xml><?xml version="1.0" encoding="utf-8"?>
<table xmlns="http://schemas.openxmlformats.org/spreadsheetml/2006/main" headerRowCount="0" ref="C251:H252" displayName="Table_221" name="Table_221" id="2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9" showColumnStripes="0" showFirstColumn="1" showLastColumn="1" showRowStripes="1"/>
</table>
</file>

<file path=xl/tables/table222.xml><?xml version="1.0" encoding="utf-8"?>
<table xmlns="http://schemas.openxmlformats.org/spreadsheetml/2006/main" headerRowCount="0" ref="N251:N252" displayName="Table_222" name="Table_222" id="222">
  <tableColumns count="1">
    <tableColumn name="Column1" id="1"/>
  </tableColumns>
  <tableStyleInfo name="BOGOTA-style 180" showColumnStripes="0" showFirstColumn="1" showLastColumn="1" showRowStripes="1"/>
</table>
</file>

<file path=xl/tables/table223.xml><?xml version="1.0" encoding="utf-8"?>
<table xmlns="http://schemas.openxmlformats.org/spreadsheetml/2006/main" headerRowCount="0" ref="C253:H254" displayName="Table_223" name="Table_223" id="2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81" showColumnStripes="0" showFirstColumn="1" showLastColumn="1" showRowStripes="1"/>
</table>
</file>

<file path=xl/tables/table224.xml><?xml version="1.0" encoding="utf-8"?>
<table xmlns="http://schemas.openxmlformats.org/spreadsheetml/2006/main" headerRowCount="0" ref="N253:N254" displayName="Table_224" name="Table_224" id="224">
  <tableColumns count="1">
    <tableColumn name="Column1" id="1"/>
  </tableColumns>
  <tableStyleInfo name="BOGOTA-style 182" showColumnStripes="0" showFirstColumn="1" showLastColumn="1" showRowStripes="1"/>
</table>
</file>

<file path=xl/tables/table225.xml><?xml version="1.0" encoding="utf-8"?>
<table xmlns="http://schemas.openxmlformats.org/spreadsheetml/2006/main" headerRowCount="0" ref="C256:M256" displayName="Table_225" name="Table_225" id="22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83" showColumnStripes="0" showFirstColumn="1" showLastColumn="1" showRowStripes="1"/>
</table>
</file>

<file path=xl/tables/table226.xml><?xml version="1.0" encoding="utf-8"?>
<table xmlns="http://schemas.openxmlformats.org/spreadsheetml/2006/main" headerRowCount="0" ref="N256:N257" displayName="Table_226" name="Table_226" id="226">
  <tableColumns count="1">
    <tableColumn name="Column1" id="1"/>
  </tableColumns>
  <tableStyleInfo name="BOGOTA-style 184" showColumnStripes="0" showFirstColumn="1" showLastColumn="1" showRowStripes="1"/>
</table>
</file>

<file path=xl/tables/table227.xml><?xml version="1.0" encoding="utf-8"?>
<table xmlns="http://schemas.openxmlformats.org/spreadsheetml/2006/main" headerRowCount="0" ref="C260:O260" displayName="Table_227" name="Table_227" id="22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85" showColumnStripes="0" showFirstColumn="1" showLastColumn="1" showRowStripes="1"/>
</table>
</file>

<file path=xl/tables/table228.xml><?xml version="1.0" encoding="utf-8"?>
<table xmlns="http://schemas.openxmlformats.org/spreadsheetml/2006/main" headerRowCount="0" ref="C261:H261" displayName="Table_228" name="Table_228" id="2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86" showColumnStripes="0" showFirstColumn="1" showLastColumn="1" showRowStripes="1"/>
</table>
</file>

<file path=xl/tables/table229.xml><?xml version="1.0" encoding="utf-8"?>
<table xmlns="http://schemas.openxmlformats.org/spreadsheetml/2006/main" headerRowCount="0" ref="N261" displayName="Table_229" name="Table_229" id="229">
  <tableColumns count="1">
    <tableColumn name="Column1" id="1"/>
  </tableColumns>
  <tableStyleInfo name="BOGOTA-style 187" showColumnStripes="0" showFirstColumn="1" showLastColumn="1" showRowStripes="1"/>
</table>
</file>

<file path=xl/tables/table230.xml><?xml version="1.0" encoding="utf-8"?>
<table xmlns="http://schemas.openxmlformats.org/spreadsheetml/2006/main" headerRowCount="0" ref="C262:H262" displayName="Table_230" name="Table_230" id="2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88" showColumnStripes="0" showFirstColumn="1" showLastColumn="1" showRowStripes="1"/>
</table>
</file>

<file path=xl/tables/table231.xml><?xml version="1.0" encoding="utf-8"?>
<table xmlns="http://schemas.openxmlformats.org/spreadsheetml/2006/main" headerRowCount="0" ref="N262" displayName="Table_231" name="Table_231" id="231">
  <tableColumns count="1">
    <tableColumn name="Column1" id="1"/>
  </tableColumns>
  <tableStyleInfo name="BOGOTA-style 189" showColumnStripes="0" showFirstColumn="1" showLastColumn="1" showRowStripes="1"/>
</table>
</file>

<file path=xl/tables/table232.xml><?xml version="1.0" encoding="utf-8"?>
<table xmlns="http://schemas.openxmlformats.org/spreadsheetml/2006/main" headerRowCount="0" ref="C270:H271" displayName="Table_232" name="Table_232" id="2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90" showColumnStripes="0" showFirstColumn="1" showLastColumn="1" showRowStripes="1"/>
</table>
</file>

<file path=xl/tables/table233.xml><?xml version="1.0" encoding="utf-8"?>
<table xmlns="http://schemas.openxmlformats.org/spreadsheetml/2006/main" headerRowCount="0" ref="N270" displayName="Table_233" name="Table_233" id="233">
  <tableColumns count="1">
    <tableColumn name="Column1" id="1"/>
  </tableColumns>
  <tableStyleInfo name="BOGOTA-style 191" showColumnStripes="0" showFirstColumn="1" showLastColumn="1" showRowStripes="1"/>
</table>
</file>

<file path=xl/tables/table234.xml><?xml version="1.0" encoding="utf-8"?>
<table xmlns="http://schemas.openxmlformats.org/spreadsheetml/2006/main" headerRowCount="0" ref="N271" displayName="Table_234" name="Table_234" id="234">
  <tableColumns count="1">
    <tableColumn name="Column1" id="1"/>
  </tableColumns>
  <tableStyleInfo name="BOGOTA-style 192" showColumnStripes="0" showFirstColumn="1" showLastColumn="1" showRowStripes="1"/>
</table>
</file>

<file path=xl/tables/table235.xml><?xml version="1.0" encoding="utf-8"?>
<table xmlns="http://schemas.openxmlformats.org/spreadsheetml/2006/main" headerRowCount="0" ref="C272:H274" displayName="Table_235" name="Table_235" id="2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93" showColumnStripes="0" showFirstColumn="1" showLastColumn="1" showRowStripes="1"/>
</table>
</file>

<file path=xl/tables/table236.xml><?xml version="1.0" encoding="utf-8"?>
<table xmlns="http://schemas.openxmlformats.org/spreadsheetml/2006/main" headerRowCount="0" ref="N272:N274" displayName="Table_236" name="Table_236" id="236">
  <tableColumns count="1">
    <tableColumn name="Column1" id="1"/>
  </tableColumns>
  <tableStyleInfo name="BOGOTA-style 194" showColumnStripes="0" showFirstColumn="1" showLastColumn="1" showRowStripes="1"/>
</table>
</file>

<file path=xl/tables/table237.xml><?xml version="1.0" encoding="utf-8"?>
<table xmlns="http://schemas.openxmlformats.org/spreadsheetml/2006/main" headerRowCount="0" ref="N276:N277" displayName="Table_237" name="Table_237" id="237">
  <tableColumns count="1">
    <tableColumn name="Column1" id="1"/>
  </tableColumns>
  <tableStyleInfo name="BOGOTA-style 195" showColumnStripes="0" showFirstColumn="1" showLastColumn="1" showRowStripes="1"/>
</table>
</file>

<file path=xl/tables/table238.xml><?xml version="1.0" encoding="utf-8"?>
<table xmlns="http://schemas.openxmlformats.org/spreadsheetml/2006/main" headerRowCount="0" ref="N278" displayName="Table_238" name="Table_238" id="238">
  <tableColumns count="1">
    <tableColumn name="Column1" id="1"/>
  </tableColumns>
  <tableStyleInfo name="BOGOTA-style 196" showColumnStripes="0" showFirstColumn="1" showLastColumn="1" showRowStripes="1"/>
</table>
</file>

<file path=xl/tables/table239.xml><?xml version="1.0" encoding="utf-8"?>
<table xmlns="http://schemas.openxmlformats.org/spreadsheetml/2006/main" headerRowCount="0" ref="N279:N281" displayName="Table_239" name="Table_239" id="239">
  <tableColumns count="1">
    <tableColumn name="Column1" id="1"/>
  </tableColumns>
  <tableStyleInfo name="BOGOTA-style 197" showColumnStripes="0" showFirstColumn="1" showLastColumn="1" showRowStripes="1"/>
</table>
</file>

<file path=xl/tables/table240.xml><?xml version="1.0" encoding="utf-8"?>
<table xmlns="http://schemas.openxmlformats.org/spreadsheetml/2006/main" headerRowCount="0" ref="N288" displayName="Table_240" name="Table_240" id="240">
  <tableColumns count="1">
    <tableColumn name="Column1" id="1"/>
  </tableColumns>
  <tableStyleInfo name="BOGOTA-style 198" showColumnStripes="0" showFirstColumn="1" showLastColumn="1" showRowStripes="1"/>
</table>
</file>

<file path=xl/tables/table241.xml><?xml version="1.0" encoding="utf-8"?>
<table xmlns="http://schemas.openxmlformats.org/spreadsheetml/2006/main" headerRowCount="0" ref="N289" displayName="Table_241" name="Table_241" id="241">
  <tableColumns count="1">
    <tableColumn name="Column1" id="1"/>
  </tableColumns>
  <tableStyleInfo name="BOGOTA-style 199" showColumnStripes="0" showFirstColumn="1" showLastColumn="1" showRowStripes="1"/>
</table>
</file>

<file path=xl/tables/table242.xml><?xml version="1.0" encoding="utf-8"?>
<table xmlns="http://schemas.openxmlformats.org/spreadsheetml/2006/main" headerRowCount="0" ref="N290" displayName="Table_242" name="Table_242" id="242">
  <tableColumns count="1">
    <tableColumn name="Column1" id="1"/>
  </tableColumns>
  <tableStyleInfo name="BOGOTA-style 200" showColumnStripes="0" showFirstColumn="1" showLastColumn="1" showRowStripes="1"/>
</table>
</file>

<file path=xl/tables/table243.xml><?xml version="1.0" encoding="utf-8"?>
<table xmlns="http://schemas.openxmlformats.org/spreadsheetml/2006/main" headerRowCount="0" ref="N291" displayName="Table_243" name="Table_243" id="243">
  <tableColumns count="1">
    <tableColumn name="Column1" id="1"/>
  </tableColumns>
  <tableStyleInfo name="BOGOTA-style 201" showColumnStripes="0" showFirstColumn="1" showLastColumn="1" showRowStripes="1"/>
</table>
</file>

<file path=xl/tables/table244.xml><?xml version="1.0" encoding="utf-8"?>
<table xmlns="http://schemas.openxmlformats.org/spreadsheetml/2006/main" headerRowCount="0" ref="N292:N293" displayName="Table_244" name="Table_244" id="244">
  <tableColumns count="1">
    <tableColumn name="Column1" id="1"/>
  </tableColumns>
  <tableStyleInfo name="BOGOTA-style 202" showColumnStripes="0" showFirstColumn="1" showLastColumn="1" showRowStripes="1"/>
</table>
</file>

<file path=xl/tables/table245.xml><?xml version="1.0" encoding="utf-8"?>
<table xmlns="http://schemas.openxmlformats.org/spreadsheetml/2006/main" headerRowCount="0" ref="N295:N296" displayName="Table_245" name="Table_245" id="245">
  <tableColumns count="1">
    <tableColumn name="Column1" id="1"/>
  </tableColumns>
  <tableStyleInfo name="BOGOTA-style 203" showColumnStripes="0" showFirstColumn="1" showLastColumn="1" showRowStripes="1"/>
</table>
</file>

<file path=xl/tables/table246.xml><?xml version="1.0" encoding="utf-8"?>
<table xmlns="http://schemas.openxmlformats.org/spreadsheetml/2006/main" headerRowCount="0" ref="N298" displayName="Table_246" name="Table_246" id="246">
  <tableColumns count="1">
    <tableColumn name="Column1" id="1"/>
  </tableColumns>
  <tableStyleInfo name="BOGOTA-style 204" showColumnStripes="0" showFirstColumn="1" showLastColumn="1" showRowStripes="1"/>
</table>
</file>

<file path=xl/tables/table247.xml><?xml version="1.0" encoding="utf-8"?>
<table xmlns="http://schemas.openxmlformats.org/spreadsheetml/2006/main" headerRowCount="0" ref="C330:D331" displayName="Table_247" name="Table_247" id="247">
  <tableColumns count="2">
    <tableColumn name="Column1" id="1"/>
    <tableColumn name="Column2" id="2"/>
  </tableColumns>
  <tableStyleInfo name="BOGOTA-style 205" showColumnStripes="0" showFirstColumn="1" showLastColumn="1" showRowStripes="1"/>
</table>
</file>

<file path=xl/tables/table248.xml><?xml version="1.0" encoding="utf-8"?>
<table xmlns="http://schemas.openxmlformats.org/spreadsheetml/2006/main" headerRowCount="0" ref="C334:D334" displayName="Table_248" name="Table_248" id="248">
  <tableColumns count="2">
    <tableColumn name="Column1" id="1"/>
    <tableColumn name="Column2" id="2"/>
  </tableColumns>
  <tableStyleInfo name="BOGOTA-style 206" showColumnStripes="0" showFirstColumn="1" showLastColumn="1" showRowStripes="1"/>
</table>
</file>

<file path=xl/tables/table249.xml><?xml version="1.0" encoding="utf-8"?>
<table xmlns="http://schemas.openxmlformats.org/spreadsheetml/2006/main" headerRowCount="0" ref="C335:D337" displayName="Table_249" name="Table_249" id="249">
  <tableColumns count="2">
    <tableColumn name="Column1" id="1"/>
    <tableColumn name="Column2" id="2"/>
  </tableColumns>
  <tableStyleInfo name="BOGOTA-style 207" showColumnStripes="0" showFirstColumn="1" showLastColumn="1" showRowStripes="1"/>
</table>
</file>

<file path=xl/tables/table250.xml><?xml version="1.0" encoding="utf-8"?>
<table xmlns="http://schemas.openxmlformats.org/spreadsheetml/2006/main" headerRowCount="0" ref="C343:D344" displayName="Table_250" name="Table_250" id="250">
  <tableColumns count="2">
    <tableColumn name="Column1" id="1"/>
    <tableColumn name="Column2" id="2"/>
  </tableColumns>
  <tableStyleInfo name="BOGOTA-style 208" showColumnStripes="0" showFirstColumn="1" showLastColumn="1" showRowStripes="1"/>
</table>
</file>

<file path=xl/tables/table251.xml><?xml version="1.0" encoding="utf-8"?>
<table xmlns="http://schemas.openxmlformats.org/spreadsheetml/2006/main" headerRowCount="0" ref="N344" displayName="Table_251" name="Table_251" id="251">
  <tableColumns count="1">
    <tableColumn name="Column1" id="1"/>
  </tableColumns>
  <tableStyleInfo name="BOGOTA-style 209" showColumnStripes="0" showFirstColumn="1" showLastColumn="1" showRowStripes="1"/>
</table>
</file>

<file path=xl/tables/table252.xml><?xml version="1.0" encoding="utf-8"?>
<table xmlns="http://schemas.openxmlformats.org/spreadsheetml/2006/main" headerRowCount="0" ref="C346:M347" displayName="Table_252" name="Table_252" id="25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10" showColumnStripes="0" showFirstColumn="1" showLastColumn="1" showRowStripes="1"/>
</table>
</file>

<file path=xl/tables/table253.xml><?xml version="1.0" encoding="utf-8"?>
<table xmlns="http://schemas.openxmlformats.org/spreadsheetml/2006/main" headerRowCount="0" ref="N346" displayName="Table_253" name="Table_253" id="253">
  <tableColumns count="1">
    <tableColumn name="Column1" id="1"/>
  </tableColumns>
  <tableStyleInfo name="BOGOTA-style 211" showColumnStripes="0" showFirstColumn="1" showLastColumn="1" showRowStripes="1"/>
</table>
</file>

<file path=xl/tables/table254.xml><?xml version="1.0" encoding="utf-8"?>
<table xmlns="http://schemas.openxmlformats.org/spreadsheetml/2006/main" headerRowCount="0" ref="C353:N353" displayName="Table_254" name="Table_254" id="25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12" showColumnStripes="0" showFirstColumn="1" showLastColumn="1" showRowStripes="1"/>
</table>
</file>

<file path=xl/tables/table255.xml><?xml version="1.0" encoding="utf-8"?>
<table xmlns="http://schemas.openxmlformats.org/spreadsheetml/2006/main" headerRowCount="0" ref="C359:D359" displayName="Table_255" name="Table_255" id="255">
  <tableColumns count="2">
    <tableColumn name="Column1" id="1"/>
    <tableColumn name="Column2" id="2"/>
  </tableColumns>
  <tableStyleInfo name="BOGOTA-style 213" showColumnStripes="0" showFirstColumn="1" showLastColumn="1" showRowStripes="1"/>
</table>
</file>

<file path=xl/tables/table256.xml><?xml version="1.0" encoding="utf-8"?>
<table xmlns="http://schemas.openxmlformats.org/spreadsheetml/2006/main" headerRowCount="0" ref="C360:D360" displayName="Table_256" name="Table_256" id="256">
  <tableColumns count="2">
    <tableColumn name="Column1" id="1"/>
    <tableColumn name="Column2" id="2"/>
  </tableColumns>
  <tableStyleInfo name="BOGOTA-style 214" showColumnStripes="0" showFirstColumn="1" showLastColumn="1" showRowStripes="1"/>
</table>
</file>

<file path=xl/tables/table257.xml><?xml version="1.0" encoding="utf-8"?>
<table xmlns="http://schemas.openxmlformats.org/spreadsheetml/2006/main" headerRowCount="0" ref="C362:D362" displayName="Table_257" name="Table_257" id="257">
  <tableColumns count="2">
    <tableColumn name="Column1" id="1"/>
    <tableColumn name="Column2" id="2"/>
  </tableColumns>
  <tableStyleInfo name="BOGOTA-style 215" showColumnStripes="0" showFirstColumn="1" showLastColumn="1" showRowStripes="1"/>
</table>
</file>

<file path=xl/tables/table258.xml><?xml version="1.0" encoding="utf-8"?>
<table xmlns="http://schemas.openxmlformats.org/spreadsheetml/2006/main" headerRowCount="0" ref="C363:D363" displayName="Table_258" name="Table_258" id="258">
  <tableColumns count="2">
    <tableColumn name="Column1" id="1"/>
    <tableColumn name="Column2" id="2"/>
  </tableColumns>
  <tableStyleInfo name="BOGOTA-style 216" showColumnStripes="0" showFirstColumn="1" showLastColumn="1" showRowStripes="1"/>
</table>
</file>

<file path=xl/tables/table259.xml><?xml version="1.0" encoding="utf-8"?>
<table xmlns="http://schemas.openxmlformats.org/spreadsheetml/2006/main" headerRowCount="0" ref="C365:D365" displayName="Table_259" name="Table_259" id="259">
  <tableColumns count="2">
    <tableColumn name="Column1" id="1"/>
    <tableColumn name="Column2" id="2"/>
  </tableColumns>
  <tableStyleInfo name="BOGOTA-style 217" showColumnStripes="0" showFirstColumn="1" showLastColumn="1" showRowStripes="1"/>
</table>
</file>

<file path=xl/tables/table260.xml><?xml version="1.0" encoding="utf-8"?>
<table xmlns="http://schemas.openxmlformats.org/spreadsheetml/2006/main" headerRowCount="0" ref="N373" displayName="Table_260" name="Table_260" id="260">
  <tableColumns count="1">
    <tableColumn name="Column1" id="1"/>
  </tableColumns>
  <tableStyleInfo name="BOGOTA-style 218" showColumnStripes="0" showFirstColumn="1" showLastColumn="1" showRowStripes="1"/>
</table>
</file>

<file path=xl/tables/table261.xml><?xml version="1.0" encoding="utf-8"?>
<table xmlns="http://schemas.openxmlformats.org/spreadsheetml/2006/main" headerRowCount="0" ref="N374" displayName="Table_261" name="Table_261" id="261">
  <tableColumns count="1">
    <tableColumn name="Column1" id="1"/>
  </tableColumns>
  <tableStyleInfo name="BOGOTA-style 219" showColumnStripes="0" showFirstColumn="1" showLastColumn="1" showRowStripes="1"/>
</table>
</file>

<file path=xl/tables/table262.xml><?xml version="1.0" encoding="utf-8"?>
<table xmlns="http://schemas.openxmlformats.org/spreadsheetml/2006/main" headerRowCount="0" ref="N375" displayName="Table_262" name="Table_262" id="262">
  <tableColumns count="1">
    <tableColumn name="Column1" id="1"/>
  </tableColumns>
  <tableStyleInfo name="BOGOTA-style 220" showColumnStripes="0" showFirstColumn="1" showLastColumn="1" showRowStripes="1"/>
</table>
</file>

<file path=xl/tables/table263.xml><?xml version="1.0" encoding="utf-8"?>
<table xmlns="http://schemas.openxmlformats.org/spreadsheetml/2006/main" headerRowCount="0" ref="N376" displayName="Table_263" name="Table_263" id="263">
  <tableColumns count="1">
    <tableColumn name="Column1" id="1"/>
  </tableColumns>
  <tableStyleInfo name="BOGOTA-style 221" showColumnStripes="0" showFirstColumn="1" showLastColumn="1" showRowStripes="1"/>
</table>
</file>

<file path=xl/tables/table264.xml><?xml version="1.0" encoding="utf-8"?>
<table xmlns="http://schemas.openxmlformats.org/spreadsheetml/2006/main" headerRowCount="0" ref="N377" displayName="Table_264" name="Table_264" id="264">
  <tableColumns count="1">
    <tableColumn name="Column1" id="1"/>
  </tableColumns>
  <tableStyleInfo name="BOGOTA-style 222" showColumnStripes="0" showFirstColumn="1" showLastColumn="1" showRowStripes="1"/>
</table>
</file>

<file path=xl/tables/table265.xml><?xml version="1.0" encoding="utf-8"?>
<table xmlns="http://schemas.openxmlformats.org/spreadsheetml/2006/main" headerRowCount="0" ref="N378:N380" displayName="Table_265" name="Table_265" id="265">
  <tableColumns count="1">
    <tableColumn name="Column1" id="1"/>
  </tableColumns>
  <tableStyleInfo name="BOGOTA-style 223" showColumnStripes="0" showFirstColumn="1" showLastColumn="1" showRowStripes="1"/>
</table>
</file>

<file path=xl/tables/table266.xml><?xml version="1.0" encoding="utf-8"?>
<table xmlns="http://schemas.openxmlformats.org/spreadsheetml/2006/main" headerRowCount="0" ref="N383:N384" displayName="Table_266" name="Table_266" id="266">
  <tableColumns count="1">
    <tableColumn name="Column1" id="1"/>
  </tableColumns>
  <tableStyleInfo name="BOGOTA-style 224" showColumnStripes="0" showFirstColumn="1" showLastColumn="1" showRowStripes="1"/>
</table>
</file>

<file path=xl/tables/table267.xml><?xml version="1.0" encoding="utf-8"?>
<table xmlns="http://schemas.openxmlformats.org/spreadsheetml/2006/main" headerRowCount="0" ref="N385:N388" displayName="Table_267" name="Table_267" id="267">
  <tableColumns count="1">
    <tableColumn name="Column1" id="1"/>
  </tableColumns>
  <tableStyleInfo name="BOGOTA-style 225" showColumnStripes="0" showFirstColumn="1" showLastColumn="1" showRowStripes="1"/>
</table>
</file>

<file path=xl/tables/table268.xml><?xml version="1.0" encoding="utf-8"?>
<table xmlns="http://schemas.openxmlformats.org/spreadsheetml/2006/main" headerRowCount="0" ref="C389:H389" displayName="Table_268" name="Table_268" id="2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26" showColumnStripes="0" showFirstColumn="1" showLastColumn="1" showRowStripes="1"/>
</table>
</file>

<file path=xl/tables/table269.xml><?xml version="1.0" encoding="utf-8"?>
<table xmlns="http://schemas.openxmlformats.org/spreadsheetml/2006/main" headerRowCount="0" ref="N389" displayName="Table_269" name="Table_269" id="269">
  <tableColumns count="1">
    <tableColumn name="Column1" id="1"/>
  </tableColumns>
  <tableStyleInfo name="BOGOTA-style 227" showColumnStripes="0" showFirstColumn="1" showLastColumn="1" showRowStripes="1"/>
</table>
</file>

<file path=xl/tables/table270.xml><?xml version="1.0" encoding="utf-8"?>
<table xmlns="http://schemas.openxmlformats.org/spreadsheetml/2006/main" headerRowCount="0" ref="N390:N393" displayName="Table_270" name="Table_270" id="270">
  <tableColumns count="1">
    <tableColumn name="Column1" id="1"/>
  </tableColumns>
  <tableStyleInfo name="BOGOTA-style 228" showColumnStripes="0" showFirstColumn="1" showLastColumn="1" showRowStripes="1"/>
</table>
</file>

<file path=xl/tables/table271.xml><?xml version="1.0" encoding="utf-8"?>
<table xmlns="http://schemas.openxmlformats.org/spreadsheetml/2006/main" headerRowCount="0" ref="C394:H395" displayName="Table_271" name="Table_271" id="2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29" showColumnStripes="0" showFirstColumn="1" showLastColumn="1" showRowStripes="1"/>
</table>
</file>

<file path=xl/tables/table272.xml><?xml version="1.0" encoding="utf-8"?>
<table xmlns="http://schemas.openxmlformats.org/spreadsheetml/2006/main" headerRowCount="0" ref="N394" displayName="Table_272" name="Table_272" id="272">
  <tableColumns count="1">
    <tableColumn name="Column1" id="1"/>
  </tableColumns>
  <tableStyleInfo name="BOGOTA-style 230" showColumnStripes="0" showFirstColumn="1" showLastColumn="1" showRowStripes="1"/>
</table>
</file>

<file path=xl/tables/table273.xml><?xml version="1.0" encoding="utf-8"?>
<table xmlns="http://schemas.openxmlformats.org/spreadsheetml/2006/main" headerRowCount="0" ref="N395:O395" displayName="Table_273" name="Table_273" id="273">
  <tableColumns count="2">
    <tableColumn name="Column1" id="1"/>
    <tableColumn name="Column2" id="2"/>
  </tableColumns>
  <tableStyleInfo name="BOGOTA-style 231" showColumnStripes="0" showFirstColumn="1" showLastColumn="1" showRowStripes="1"/>
</table>
</file>

<file path=xl/tables/table274.xml><?xml version="1.0" encoding="utf-8"?>
<table xmlns="http://schemas.openxmlformats.org/spreadsheetml/2006/main" headerRowCount="0" ref="C396:H396" displayName="Table_274" name="Table_274" id="2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32" showColumnStripes="0" showFirstColumn="1" showLastColumn="1" showRowStripes="1"/>
</table>
</file>

<file path=xl/tables/table275.xml><?xml version="1.0" encoding="utf-8"?>
<table xmlns="http://schemas.openxmlformats.org/spreadsheetml/2006/main" headerRowCount="0" ref="N396:O396" displayName="Table_275" name="Table_275" id="275">
  <tableColumns count="2">
    <tableColumn name="Column1" id="1"/>
    <tableColumn name="Column2" id="2"/>
  </tableColumns>
  <tableStyleInfo name="BOGOTA-style 233" showColumnStripes="0" showFirstColumn="1" showLastColumn="1" showRowStripes="1"/>
</table>
</file>

<file path=xl/tables/table276.xml><?xml version="1.0" encoding="utf-8"?>
<table xmlns="http://schemas.openxmlformats.org/spreadsheetml/2006/main" headerRowCount="0" ref="C403:E403" displayName="Table_276" name="Table_276" id="276">
  <tableColumns count="3">
    <tableColumn name="Column1" id="1"/>
    <tableColumn name="Column2" id="2"/>
    <tableColumn name="Column3" id="3"/>
  </tableColumns>
  <tableStyleInfo name="BOGOTA-style 234" showColumnStripes="0" showFirstColumn="1" showLastColumn="1" showRowStripes="1"/>
</table>
</file>

<file path=xl/tables/table277.xml><?xml version="1.0" encoding="utf-8"?>
<table xmlns="http://schemas.openxmlformats.org/spreadsheetml/2006/main" headerRowCount="0" ref="N403" displayName="Table_277" name="Table_277" id="277">
  <tableColumns count="1">
    <tableColumn name="Column1" id="1"/>
  </tableColumns>
  <tableStyleInfo name="BOGOTA-style 235" showColumnStripes="0" showFirstColumn="1" showLastColumn="1" showRowStripes="1"/>
</table>
</file>

<file path=xl/tables/table278.xml><?xml version="1.0" encoding="utf-8"?>
<table xmlns="http://schemas.openxmlformats.org/spreadsheetml/2006/main" headerRowCount="0" ref="C404:H405" displayName="Table_278" name="Table_278" id="2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36" showColumnStripes="0" showFirstColumn="1" showLastColumn="1" showRowStripes="1"/>
</table>
</file>

<file path=xl/tables/table279.xml><?xml version="1.0" encoding="utf-8"?>
<table xmlns="http://schemas.openxmlformats.org/spreadsheetml/2006/main" headerRowCount="0" ref="N404:N405" displayName="Table_279" name="Table_279" id="279">
  <tableColumns count="1">
    <tableColumn name="Column1" id="1"/>
  </tableColumns>
  <tableStyleInfo name="BOGOTA-style 237" showColumnStripes="0" showFirstColumn="1" showLastColumn="1" showRowStripes="1"/>
</table>
</file>

<file path=xl/tables/table280.xml><?xml version="1.0" encoding="utf-8"?>
<table xmlns="http://schemas.openxmlformats.org/spreadsheetml/2006/main" headerRowCount="0" ref="C406:H407" displayName="Table_280" name="Table_280" id="2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38" showColumnStripes="0" showFirstColumn="1" showLastColumn="1" showRowStripes="1"/>
</table>
</file>

<file path=xl/tables/table281.xml><?xml version="1.0" encoding="utf-8"?>
<table xmlns="http://schemas.openxmlformats.org/spreadsheetml/2006/main" headerRowCount="0" ref="N406:N407" displayName="Table_281" name="Table_281" id="281">
  <tableColumns count="1">
    <tableColumn name="Column1" id="1"/>
  </tableColumns>
  <tableStyleInfo name="BOGOTA-style 239" showColumnStripes="0" showFirstColumn="1" showLastColumn="1" showRowStripes="1"/>
</table>
</file>

<file path=xl/tables/table282.xml><?xml version="1.0" encoding="utf-8"?>
<table xmlns="http://schemas.openxmlformats.org/spreadsheetml/2006/main" headerRowCount="0" ref="C408:H430" displayName="Table_282" name="Table_282" id="2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40" showColumnStripes="0" showFirstColumn="1" showLastColumn="1" showRowStripes="1"/>
</table>
</file>

<file path=xl/tables/table283.xml><?xml version="1.0" encoding="utf-8"?>
<table xmlns="http://schemas.openxmlformats.org/spreadsheetml/2006/main" headerRowCount="0" ref="N408:N430" displayName="Table_283" name="Table_283" id="283">
  <tableColumns count="1">
    <tableColumn name="Column1" id="1"/>
  </tableColumns>
  <tableStyleInfo name="BOGOTA-style 241" showColumnStripes="0" showFirstColumn="1" showLastColumn="1" showRowStripes="1"/>
</table>
</file>

<file path=xl/tables/table284.xml><?xml version="1.0" encoding="utf-8"?>
<table xmlns="http://schemas.openxmlformats.org/spreadsheetml/2006/main" headerRowCount="0" ref="C431:H431" displayName="Table_284" name="Table_284" id="2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42" showColumnStripes="0" showFirstColumn="1" showLastColumn="1" showRowStripes="1"/>
</table>
</file>

<file path=xl/tables/table285.xml><?xml version="1.0" encoding="utf-8"?>
<table xmlns="http://schemas.openxmlformats.org/spreadsheetml/2006/main" headerRowCount="0" ref="N431" displayName="Table_285" name="Table_285" id="285">
  <tableColumns count="1">
    <tableColumn name="Column1" id="1"/>
  </tableColumns>
  <tableStyleInfo name="BOGOTA-style 243" showColumnStripes="0" showFirstColumn="1" showLastColumn="1" showRowStripes="1"/>
</table>
</file>

<file path=xl/tables/table286.xml><?xml version="1.0" encoding="utf-8"?>
<table xmlns="http://schemas.openxmlformats.org/spreadsheetml/2006/main" headerRowCount="0" ref="C432:H440" displayName="Table_286" name="Table_286" id="2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44" showColumnStripes="0" showFirstColumn="1" showLastColumn="1" showRowStripes="1"/>
</table>
</file>

<file path=xl/tables/table287.xml><?xml version="1.0" encoding="utf-8"?>
<table xmlns="http://schemas.openxmlformats.org/spreadsheetml/2006/main" headerRowCount="0" ref="N432" displayName="Table_287" name="Table_287" id="287">
  <tableColumns count="1">
    <tableColumn name="Column1" id="1"/>
  </tableColumns>
  <tableStyleInfo name="BOGOTA-style 245" showColumnStripes="0" showFirstColumn="1" showLastColumn="1" showRowStripes="1"/>
</table>
</file>

<file path=xl/tables/table288.xml><?xml version="1.0" encoding="utf-8"?>
<table xmlns="http://schemas.openxmlformats.org/spreadsheetml/2006/main" headerRowCount="0" ref="N434" displayName="Table_288" name="Table_288" id="288">
  <tableColumns count="1">
    <tableColumn name="Column1" id="1"/>
  </tableColumns>
  <tableStyleInfo name="BOGOTA-style 246" showColumnStripes="0" showFirstColumn="1" showLastColumn="1" showRowStripes="1"/>
</table>
</file>

<file path=xl/tables/table289.xml><?xml version="1.0" encoding="utf-8"?>
<table xmlns="http://schemas.openxmlformats.org/spreadsheetml/2006/main" headerRowCount="0" ref="N439:N440" displayName="Table_289" name="Table_289" id="289">
  <tableColumns count="1">
    <tableColumn name="Column1" id="1"/>
  </tableColumns>
  <tableStyleInfo name="BOGOTA-style 247" showColumnStripes="0" showFirstColumn="1" showLastColumn="1" showRowStripes="1"/>
</table>
</file>

<file path=xl/tables/table290.xml><?xml version="1.0" encoding="utf-8"?>
<table xmlns="http://schemas.openxmlformats.org/spreadsheetml/2006/main" headerRowCount="0" ref="C442:E442" displayName="Table_290" name="Table_290" id="290">
  <tableColumns count="3">
    <tableColumn name="Column1" id="1"/>
    <tableColumn name="Column2" id="2"/>
    <tableColumn name="Column3" id="3"/>
  </tableColumns>
  <tableStyleInfo name="BOGOTA-style 248" showColumnStripes="0" showFirstColumn="1" showLastColumn="1" showRowStripes="1"/>
</table>
</file>

<file path=xl/tables/table291.xml><?xml version="1.0" encoding="utf-8"?>
<table xmlns="http://schemas.openxmlformats.org/spreadsheetml/2006/main" headerRowCount="0" ref="N442" displayName="Table_291" name="Table_291" id="291">
  <tableColumns count="1">
    <tableColumn name="Column1" id="1"/>
  </tableColumns>
  <tableStyleInfo name="BOGOTA-style 249" showColumnStripes="0" showFirstColumn="1" showLastColumn="1" showRowStripes="1"/>
</table>
</file>

<file path=xl/tables/table292.xml><?xml version="1.0" encoding="utf-8"?>
<table xmlns="http://schemas.openxmlformats.org/spreadsheetml/2006/main" headerRowCount="0" ref="C443:E443" displayName="Table_292" name="Table_292" id="292">
  <tableColumns count="3">
    <tableColumn name="Column1" id="1"/>
    <tableColumn name="Column2" id="2"/>
    <tableColumn name="Column3" id="3"/>
  </tableColumns>
  <tableStyleInfo name="BOGOTA-style 250" showColumnStripes="0" showFirstColumn="1" showLastColumn="1" showRowStripes="1"/>
</table>
</file>

<file path=xl/tables/table293.xml><?xml version="1.0" encoding="utf-8"?>
<table xmlns="http://schemas.openxmlformats.org/spreadsheetml/2006/main" headerRowCount="0" ref="N443" displayName="Table_293" name="Table_293" id="293">
  <tableColumns count="1">
    <tableColumn name="Column1" id="1"/>
  </tableColumns>
  <tableStyleInfo name="BOGOTA-style 251" showColumnStripes="0" showFirstColumn="1" showLastColumn="1" showRowStripes="1"/>
</table>
</file>

<file path=xl/tables/table294.xml><?xml version="1.0" encoding="utf-8"?>
<table xmlns="http://schemas.openxmlformats.org/spreadsheetml/2006/main" headerRowCount="0" ref="C444:H444" displayName="Table_294" name="Table_294" id="2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52" showColumnStripes="0" showFirstColumn="1" showLastColumn="1" showRowStripes="1"/>
</table>
</file>

<file path=xl/tables/table295.xml><?xml version="1.0" encoding="utf-8"?>
<table xmlns="http://schemas.openxmlformats.org/spreadsheetml/2006/main" headerRowCount="0" ref="N444:N445" displayName="Table_295" name="Table_295" id="295">
  <tableColumns count="1">
    <tableColumn name="Column1" id="1"/>
  </tableColumns>
  <tableStyleInfo name="BOGOTA-style 253" showColumnStripes="0" showFirstColumn="1" showLastColumn="1" showRowStripes="1"/>
</table>
</file>

<file path=xl/tables/table296.xml><?xml version="1.0" encoding="utf-8"?>
<table xmlns="http://schemas.openxmlformats.org/spreadsheetml/2006/main" headerRowCount="0" ref="C445:E445" displayName="Table_296" name="Table_296" id="296">
  <tableColumns count="3">
    <tableColumn name="Column1" id="1"/>
    <tableColumn name="Column2" id="2"/>
    <tableColumn name="Column3" id="3"/>
  </tableColumns>
  <tableStyleInfo name="BOGOTA-style 254" showColumnStripes="0" showFirstColumn="1" showLastColumn="1" showRowStripes="1"/>
</table>
</file>

<file path=xl/tables/table297.xml><?xml version="1.0" encoding="utf-8"?>
<table xmlns="http://schemas.openxmlformats.org/spreadsheetml/2006/main" headerRowCount="0" ref="C446:H446" displayName="Table_297" name="Table_297" id="2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55" showColumnStripes="0" showFirstColumn="1" showLastColumn="1" showRowStripes="1"/>
</table>
</file>

<file path=xl/tables/table298.xml><?xml version="1.0" encoding="utf-8"?>
<table xmlns="http://schemas.openxmlformats.org/spreadsheetml/2006/main" headerRowCount="0" ref="N446" displayName="Table_298" name="Table_298" id="298">
  <tableColumns count="1">
    <tableColumn name="Column1" id="1"/>
  </tableColumns>
  <tableStyleInfo name="BOGOTA-style 256" showColumnStripes="0" showFirstColumn="1" showLastColumn="1" showRowStripes="1"/>
</table>
</file>

<file path=xl/tables/table299.xml><?xml version="1.0" encoding="utf-8"?>
<table xmlns="http://schemas.openxmlformats.org/spreadsheetml/2006/main" headerRowCount="0" ref="C449:D450" displayName="Table_299" name="Table_299" id="299">
  <tableColumns count="2">
    <tableColumn name="Column1" id="1"/>
    <tableColumn name="Column2" id="2"/>
  </tableColumns>
  <tableStyleInfo name="BOGOTA-style 257" showColumnStripes="0" showFirstColumn="1" showLastColumn="1" showRowStripes="1"/>
</table>
</file>

<file path=xl/tables/table300.xml><?xml version="1.0" encoding="utf-8"?>
<table xmlns="http://schemas.openxmlformats.org/spreadsheetml/2006/main" headerRowCount="0" ref="N449" displayName="Table_300" name="Table_300" id="300">
  <tableColumns count="1">
    <tableColumn name="Column1" id="1"/>
  </tableColumns>
  <tableStyleInfo name="BOGOTA-style 258" showColumnStripes="0" showFirstColumn="1" showLastColumn="1" showRowStripes="1"/>
</table>
</file>

<file path=xl/tables/table301.xml><?xml version="1.0" encoding="utf-8"?>
<table xmlns="http://schemas.openxmlformats.org/spreadsheetml/2006/main" headerRowCount="0" ref="N450" displayName="Table_301" name="Table_301" id="301">
  <tableColumns count="1">
    <tableColumn name="Column1" id="1"/>
  </tableColumns>
  <tableStyleInfo name="BOGOTA-style 259" showColumnStripes="0" showFirstColumn="1" showLastColumn="1" showRowStripes="1"/>
</table>
</file>

<file path=xl/tables/table302.xml><?xml version="1.0" encoding="utf-8"?>
<table xmlns="http://schemas.openxmlformats.org/spreadsheetml/2006/main" headerRowCount="0" ref="C453:H453" displayName="Table_302" name="Table_302" id="3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60" showColumnStripes="0" showFirstColumn="1" showLastColumn="1" showRowStripes="1"/>
</table>
</file>

<file path=xl/tables/table303.xml><?xml version="1.0" encoding="utf-8"?>
<table xmlns="http://schemas.openxmlformats.org/spreadsheetml/2006/main" headerRowCount="0" ref="N453" displayName="Table_303" name="Table_303" id="303">
  <tableColumns count="1">
    <tableColumn name="Column1" id="1"/>
  </tableColumns>
  <tableStyleInfo name="BOGOTA-style 261" showColumnStripes="0" showFirstColumn="1" showLastColumn="1" showRowStripes="1"/>
</table>
</file>

<file path=xl/tables/table304.xml><?xml version="1.0" encoding="utf-8"?>
<table xmlns="http://schemas.openxmlformats.org/spreadsheetml/2006/main" headerRowCount="0" ref="C454:H456" displayName="Table_304" name="Table_304" id="3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62" showColumnStripes="0" showFirstColumn="1" showLastColumn="1" showRowStripes="1"/>
</table>
</file>

<file path=xl/tables/table305.xml><?xml version="1.0" encoding="utf-8"?>
<table xmlns="http://schemas.openxmlformats.org/spreadsheetml/2006/main" headerRowCount="0" ref="N454:N456" displayName="Table_305" name="Table_305" id="305">
  <tableColumns count="1">
    <tableColumn name="Column1" id="1"/>
  </tableColumns>
  <tableStyleInfo name="BOGOTA-style 263" showColumnStripes="0" showFirstColumn="1" showLastColumn="1" showRowStripes="1"/>
</table>
</file>

<file path=xl/tables/table306.xml><?xml version="1.0" encoding="utf-8"?>
<table xmlns="http://schemas.openxmlformats.org/spreadsheetml/2006/main" headerRowCount="0" ref="C457:D457" displayName="Table_306" name="Table_306" id="306">
  <tableColumns count="2">
    <tableColumn name="Column1" id="1"/>
    <tableColumn name="Column2" id="2"/>
  </tableColumns>
  <tableStyleInfo name="BOGOTA-style 264" showColumnStripes="0" showFirstColumn="1" showLastColumn="1" showRowStripes="1"/>
</table>
</file>

<file path=xl/tables/table307.xml><?xml version="1.0" encoding="utf-8"?>
<table xmlns="http://schemas.openxmlformats.org/spreadsheetml/2006/main" headerRowCount="0" ref="C459:M459" displayName="Table_307" name="Table_307" id="30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65" showColumnStripes="0" showFirstColumn="1" showLastColumn="1" showRowStripes="1"/>
</table>
</file>

<file path=xl/tables/table308.xml><?xml version="1.0" encoding="utf-8"?>
<table xmlns="http://schemas.openxmlformats.org/spreadsheetml/2006/main" headerRowCount="0" ref="C460:M460" displayName="Table_308" name="Table_308" id="30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66" showColumnStripes="0" showFirstColumn="1" showLastColumn="1" showRowStripes="1"/>
</table>
</file>

<file path=xl/tables/table309.xml><?xml version="1.0" encoding="utf-8"?>
<table xmlns="http://schemas.openxmlformats.org/spreadsheetml/2006/main" headerRowCount="0" ref="C461:E464" displayName="Table_309" name="Table_309" id="309">
  <tableColumns count="3">
    <tableColumn name="Column1" id="1"/>
    <tableColumn name="Column2" id="2"/>
    <tableColumn name="Column3" id="3"/>
  </tableColumns>
  <tableStyleInfo name="BOGOTA-style 267" showColumnStripes="0" showFirstColumn="1" showLastColumn="1" showRowStripes="1"/>
</table>
</file>

<file path=xl/tables/table310.xml><?xml version="1.0" encoding="utf-8"?>
<table xmlns="http://schemas.openxmlformats.org/spreadsheetml/2006/main" headerRowCount="0" ref="N464" displayName="Table_310" name="Table_310" id="310">
  <tableColumns count="1">
    <tableColumn name="Column1" id="1"/>
  </tableColumns>
  <tableStyleInfo name="BOGOTA-style 268" showColumnStripes="0" showFirstColumn="1" showLastColumn="1" showRowStripes="1"/>
</table>
</file>

<file path=xl/tables/table311.xml><?xml version="1.0" encoding="utf-8"?>
<table xmlns="http://schemas.openxmlformats.org/spreadsheetml/2006/main" headerRowCount="0" ref="C466:E466" displayName="Table_311" name="Table_311" id="311">
  <tableColumns count="3">
    <tableColumn name="Column1" id="1"/>
    <tableColumn name="Column2" id="2"/>
    <tableColumn name="Column3" id="3"/>
  </tableColumns>
  <tableStyleInfo name="BOGOTA-style 269" showColumnStripes="0" showFirstColumn="1" showLastColumn="1" showRowStripes="1"/>
</table>
</file>

<file path=xl/tables/table312.xml><?xml version="1.0" encoding="utf-8"?>
<table xmlns="http://schemas.openxmlformats.org/spreadsheetml/2006/main" headerRowCount="0" ref="C467:E467" displayName="Table_312" name="Table_312" id="312">
  <tableColumns count="3">
    <tableColumn name="Column1" id="1"/>
    <tableColumn name="Column2" id="2"/>
    <tableColumn name="Column3" id="3"/>
  </tableColumns>
  <tableStyleInfo name="BOGOTA-style 270" showColumnStripes="0" showFirstColumn="1" showLastColumn="1" showRowStripes="1"/>
</table>
</file>

<file path=xl/tables/table313.xml><?xml version="1.0" encoding="utf-8"?>
<table xmlns="http://schemas.openxmlformats.org/spreadsheetml/2006/main" headerRowCount="0" ref="C468:E471" displayName="Table_313" name="Table_313" id="313">
  <tableColumns count="3">
    <tableColumn name="Column1" id="1"/>
    <tableColumn name="Column2" id="2"/>
    <tableColumn name="Column3" id="3"/>
  </tableColumns>
  <tableStyleInfo name="BOGOTA-style 271" showColumnStripes="0" showFirstColumn="1" showLastColumn="1" showRowStripes="1"/>
</table>
</file>

<file path=xl/tables/table314.xml><?xml version="1.0" encoding="utf-8"?>
<table xmlns="http://schemas.openxmlformats.org/spreadsheetml/2006/main" headerRowCount="0" ref="C472:E472" displayName="Table_314" name="Table_314" id="314">
  <tableColumns count="3">
    <tableColumn name="Column1" id="1"/>
    <tableColumn name="Column2" id="2"/>
    <tableColumn name="Column3" id="3"/>
  </tableColumns>
  <tableStyleInfo name="BOGOTA-style 272" showColumnStripes="0" showFirstColumn="1" showLastColumn="1" showRowStripes="1"/>
</table>
</file>

<file path=xl/tables/table315.xml><?xml version="1.0" encoding="utf-8"?>
<table xmlns="http://schemas.openxmlformats.org/spreadsheetml/2006/main" headerRowCount="0" ref="C477:H477" displayName="Table_315" name="Table_315" id="3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73" showColumnStripes="0" showFirstColumn="1" showLastColumn="1" showRowStripes="1"/>
</table>
</file>

<file path=xl/tables/table316.xml><?xml version="1.0" encoding="utf-8"?>
<table xmlns="http://schemas.openxmlformats.org/spreadsheetml/2006/main" headerRowCount="0" ref="N477" displayName="Table_316" name="Table_316" id="316">
  <tableColumns count="1">
    <tableColumn name="Column1" id="1"/>
  </tableColumns>
  <tableStyleInfo name="BOGOTA-style 274" showColumnStripes="0" showFirstColumn="1" showLastColumn="1" showRowStripes="1"/>
</table>
</file>

<file path=xl/tables/table317.xml><?xml version="1.0" encoding="utf-8"?>
<table xmlns="http://schemas.openxmlformats.org/spreadsheetml/2006/main" headerRowCount="0" ref="C478:E480" displayName="Table_317" name="Table_317" id="317">
  <tableColumns count="3">
    <tableColumn name="Column1" id="1"/>
    <tableColumn name="Column2" id="2"/>
    <tableColumn name="Column3" id="3"/>
  </tableColumns>
  <tableStyleInfo name="BOGOTA-style 275" showColumnStripes="0" showFirstColumn="1" showLastColumn="1" showRowStripes="1"/>
</table>
</file>

<file path=xl/tables/table318.xml><?xml version="1.0" encoding="utf-8"?>
<table xmlns="http://schemas.openxmlformats.org/spreadsheetml/2006/main" headerRowCount="0" ref="C481:H481" displayName="Table_318" name="Table_318" id="3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76" showColumnStripes="0" showFirstColumn="1" showLastColumn="1" showRowStripes="1"/>
</table>
</file>

<file path=xl/tables/table319.xml><?xml version="1.0" encoding="utf-8"?>
<table xmlns="http://schemas.openxmlformats.org/spreadsheetml/2006/main" headerRowCount="0" ref="N481" displayName="Table_319" name="Table_319" id="319">
  <tableColumns count="1">
    <tableColumn name="Column1" id="1"/>
  </tableColumns>
  <tableStyleInfo name="BOGOTA-style 277" showColumnStripes="0" showFirstColumn="1" showLastColumn="1" showRowStripes="1"/>
</table>
</file>

<file path=xl/tables/table320.xml><?xml version="1.0" encoding="utf-8"?>
<table xmlns="http://schemas.openxmlformats.org/spreadsheetml/2006/main" headerRowCount="0" ref="C482:H482" displayName="Table_320" name="Table_320" id="3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78" showColumnStripes="0" showFirstColumn="1" showLastColumn="1" showRowStripes="1"/>
</table>
</file>

<file path=xl/tables/table321.xml><?xml version="1.0" encoding="utf-8"?>
<table xmlns="http://schemas.openxmlformats.org/spreadsheetml/2006/main" headerRowCount="0" ref="N482" displayName="Table_321" name="Table_321" id="321">
  <tableColumns count="1">
    <tableColumn name="Column1" id="1"/>
  </tableColumns>
  <tableStyleInfo name="BOGOTA-style 279" showColumnStripes="0" showFirstColumn="1" showLastColumn="1" showRowStripes="1"/>
</table>
</file>

<file path=xl/tables/table322.xml><?xml version="1.0" encoding="utf-8"?>
<table xmlns="http://schemas.openxmlformats.org/spreadsheetml/2006/main" headerRowCount="0" ref="C484:E484" displayName="Table_322" name="Table_322" id="322">
  <tableColumns count="3">
    <tableColumn name="Column1" id="1"/>
    <tableColumn name="Column2" id="2"/>
    <tableColumn name="Column3" id="3"/>
  </tableColumns>
  <tableStyleInfo name="BOGOTA-style 280" showColumnStripes="0" showFirstColumn="1" showLastColumn="1" showRowStripes="1"/>
</table>
</file>

<file path=xl/tables/table323.xml><?xml version="1.0" encoding="utf-8"?>
<table xmlns="http://schemas.openxmlformats.org/spreadsheetml/2006/main" headerRowCount="0" ref="C486:E489" displayName="Table_323" name="Table_323" id="323">
  <tableColumns count="3">
    <tableColumn name="Column1" id="1"/>
    <tableColumn name="Column2" id="2"/>
    <tableColumn name="Column3" id="3"/>
  </tableColumns>
  <tableStyleInfo name="BOGOTA-style 281" showColumnStripes="0" showFirstColumn="1" showLastColumn="1" showRowStripes="1"/>
</table>
</file>

<file path=xl/tables/table324.xml><?xml version="1.0" encoding="utf-8"?>
<table xmlns="http://schemas.openxmlformats.org/spreadsheetml/2006/main" headerRowCount="0" ref="C491:H491" displayName="Table_324" name="Table_324" id="3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282" showColumnStripes="0" showFirstColumn="1" showLastColumn="1" showRowStripes="1"/>
</table>
</file>

<file path=xl/tables/table325.xml><?xml version="1.0" encoding="utf-8"?>
<table xmlns="http://schemas.openxmlformats.org/spreadsheetml/2006/main" headerRowCount="0" ref="N491" displayName="Table_325" name="Table_325" id="325">
  <tableColumns count="1">
    <tableColumn name="Column1" id="1"/>
  </tableColumns>
  <tableStyleInfo name="BOGOTA-style 283" showColumnStripes="0" showFirstColumn="1" showLastColumn="1" showRowStripes="1"/>
</table>
</file>

<file path=xl/tables/table326.xml><?xml version="1.0" encoding="utf-8"?>
<table xmlns="http://schemas.openxmlformats.org/spreadsheetml/2006/main" headerRowCount="0" ref="C493:D493" displayName="Table_326" name="Table_326" id="326">
  <tableColumns count="2">
    <tableColumn name="Column1" id="1"/>
    <tableColumn name="Column2" id="2"/>
  </tableColumns>
  <tableStyleInfo name="BOGOTA-style 284" showColumnStripes="0" showFirstColumn="1" showLastColumn="1" showRowStripes="1"/>
</table>
</file>

<file path=xl/tables/table327.xml><?xml version="1.0" encoding="utf-8"?>
<table xmlns="http://schemas.openxmlformats.org/spreadsheetml/2006/main" headerRowCount="0" ref="C496:L496" displayName="Table_327" name="Table_327" id="32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OGOTA-style 285" showColumnStripes="0" showFirstColumn="1" showLastColumn="1" showRowStripes="1"/>
</table>
</file>

<file path=xl/tables/table328.xml><?xml version="1.0" encoding="utf-8"?>
<table xmlns="http://schemas.openxmlformats.org/spreadsheetml/2006/main" headerRowCount="0" ref="C497:M498" displayName="Table_328" name="Table_328" id="32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86" showColumnStripes="0" showFirstColumn="1" showLastColumn="1" showRowStripes="1"/>
</table>
</file>

<file path=xl/tables/table329.xml><?xml version="1.0" encoding="utf-8"?>
<table xmlns="http://schemas.openxmlformats.org/spreadsheetml/2006/main" headerRowCount="0" ref="N497" displayName="Table_329" name="Table_329" id="329">
  <tableColumns count="1">
    <tableColumn name="Column1" id="1"/>
  </tableColumns>
  <tableStyleInfo name="BOGOTA-style 287" showColumnStripes="0" showFirstColumn="1" showLastColumn="1" showRowStripes="1"/>
</table>
</file>

<file path=xl/tables/table330.xml><?xml version="1.0" encoding="utf-8"?>
<table xmlns="http://schemas.openxmlformats.org/spreadsheetml/2006/main" headerRowCount="0" ref="N498" displayName="Table_330" name="Table_330" id="330">
  <tableColumns count="1">
    <tableColumn name="Column1" id="1"/>
  </tableColumns>
  <tableStyleInfo name="BOGOTA-style 288" showColumnStripes="0" showFirstColumn="1" showLastColumn="1" showRowStripes="1"/>
</table>
</file>

<file path=xl/tables/table331.xml><?xml version="1.0" encoding="utf-8"?>
<table xmlns="http://schemas.openxmlformats.org/spreadsheetml/2006/main" headerRowCount="0" ref="C501:E501" displayName="Table_331" name="Table_331" id="331">
  <tableColumns count="3">
    <tableColumn name="Column1" id="1"/>
    <tableColumn name="Column2" id="2"/>
    <tableColumn name="Column3" id="3"/>
  </tableColumns>
  <tableStyleInfo name="BOGOTA-style 289" showColumnStripes="0" showFirstColumn="1" showLastColumn="1" showRowStripes="1"/>
</table>
</file>

<file path=xl/tables/table332.xml><?xml version="1.0" encoding="utf-8"?>
<table xmlns="http://schemas.openxmlformats.org/spreadsheetml/2006/main" headerRowCount="0" ref="N501" displayName="Table_332" name="Table_332" id="332">
  <tableColumns count="1">
    <tableColumn name="Column1" id="1"/>
  </tableColumns>
  <tableStyleInfo name="BOGOTA-style 290" showColumnStripes="0" showFirstColumn="1" showLastColumn="1" showRowStripes="1"/>
</table>
</file>

<file path=xl/tables/table333.xml><?xml version="1.0" encoding="utf-8"?>
<table xmlns="http://schemas.openxmlformats.org/spreadsheetml/2006/main" headerRowCount="0" ref="C506:E514" displayName="Table_333" name="Table_333" id="333">
  <tableColumns count="3">
    <tableColumn name="Column1" id="1"/>
    <tableColumn name="Column2" id="2"/>
    <tableColumn name="Column3" id="3"/>
  </tableColumns>
  <tableStyleInfo name="BOGOTA-style 291" showColumnStripes="0" showFirstColumn="1" showLastColumn="1" showRowStripes="1"/>
</table>
</file>

<file path=xl/tables/table334.xml><?xml version="1.0" encoding="utf-8"?>
<table xmlns="http://schemas.openxmlformats.org/spreadsheetml/2006/main" headerRowCount="0" ref="N506:N508" displayName="Table_334" name="Table_334" id="334">
  <tableColumns count="1">
    <tableColumn name="Column1" id="1"/>
  </tableColumns>
  <tableStyleInfo name="BOGOTA-style 292" showColumnStripes="0" showFirstColumn="1" showLastColumn="1" showRowStripes="1"/>
</table>
</file>

<file path=xl/tables/table335.xml><?xml version="1.0" encoding="utf-8"?>
<table xmlns="http://schemas.openxmlformats.org/spreadsheetml/2006/main" headerRowCount="0" ref="N509" displayName="Table_335" name="Table_335" id="335">
  <tableColumns count="1">
    <tableColumn name="Column1" id="1"/>
  </tableColumns>
  <tableStyleInfo name="BOGOTA-style 293" showColumnStripes="0" showFirstColumn="1" showLastColumn="1" showRowStripes="1"/>
</table>
</file>

<file path=xl/tables/table336.xml><?xml version="1.0" encoding="utf-8"?>
<table xmlns="http://schemas.openxmlformats.org/spreadsheetml/2006/main" headerRowCount="0" ref="N510" displayName="Table_336" name="Table_336" id="336">
  <tableColumns count="1">
    <tableColumn name="Column1" id="1"/>
  </tableColumns>
  <tableStyleInfo name="BOGOTA-style 294" showColumnStripes="0" showFirstColumn="1" showLastColumn="1" showRowStripes="1"/>
</table>
</file>

<file path=xl/tables/table337.xml><?xml version="1.0" encoding="utf-8"?>
<table xmlns="http://schemas.openxmlformats.org/spreadsheetml/2006/main" headerRowCount="0" ref="N511" displayName="Table_337" name="Table_337" id="337">
  <tableColumns count="1">
    <tableColumn name="Column1" id="1"/>
  </tableColumns>
  <tableStyleInfo name="BOGOTA-style 295" showColumnStripes="0" showFirstColumn="1" showLastColumn="1" showRowStripes="1"/>
</table>
</file>

<file path=xl/tables/table338.xml><?xml version="1.0" encoding="utf-8"?>
<table xmlns="http://schemas.openxmlformats.org/spreadsheetml/2006/main" headerRowCount="0" ref="C518:M520" displayName="Table_338" name="Table_338" id="33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96" showColumnStripes="0" showFirstColumn="1" showLastColumn="1" showRowStripes="1"/>
</table>
</file>

<file path=xl/tables/table339.xml><?xml version="1.0" encoding="utf-8"?>
<table xmlns="http://schemas.openxmlformats.org/spreadsheetml/2006/main" headerRowCount="0" ref="C521:E523" displayName="Table_339" name="Table_339" id="339">
  <tableColumns count="3">
    <tableColumn name="Column1" id="1"/>
    <tableColumn name="Column2" id="2"/>
    <tableColumn name="Column3" id="3"/>
  </tableColumns>
  <tableStyleInfo name="BOGOTA-style 297" showColumnStripes="0" showFirstColumn="1" showLastColumn="1" showRowStripes="1"/>
</table>
</file>

<file path=xl/tables/table340.xml><?xml version="1.0" encoding="utf-8"?>
<table xmlns="http://schemas.openxmlformats.org/spreadsheetml/2006/main" headerRowCount="0" ref="C524:D524" displayName="Table_340" name="Table_340" id="340">
  <tableColumns count="2">
    <tableColumn name="Column1" id="1"/>
    <tableColumn name="Column2" id="2"/>
  </tableColumns>
  <tableStyleInfo name="BOGOTA-style 298" showColumnStripes="0" showFirstColumn="1" showLastColumn="1" showRowStripes="1"/>
</table>
</file>

<file path=xl/tables/table341.xml><?xml version="1.0" encoding="utf-8"?>
<table xmlns="http://schemas.openxmlformats.org/spreadsheetml/2006/main" headerRowCount="0" ref="C530:M530" displayName="Table_341" name="Table_341" id="34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99" showColumnStripes="0" showFirstColumn="1" showLastColumn="1" showRowStripes="1"/>
</table>
</file>

<file path=xl/tables/table342.xml><?xml version="1.0" encoding="utf-8"?>
<table xmlns="http://schemas.openxmlformats.org/spreadsheetml/2006/main" headerRowCount="0" ref="C531:M531" displayName="Table_342" name="Table_342" id="34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00" showColumnStripes="0" showFirstColumn="1" showLastColumn="1" showRowStripes="1"/>
</table>
</file>

<file path=xl/tables/table343.xml><?xml version="1.0" encoding="utf-8"?>
<table xmlns="http://schemas.openxmlformats.org/spreadsheetml/2006/main" headerRowCount="0" ref="N531" displayName="Table_343" name="Table_343" id="343">
  <tableColumns count="1">
    <tableColumn name="Column1" id="1"/>
  </tableColumns>
  <tableStyleInfo name="BOGOTA-style 301" showColumnStripes="0" showFirstColumn="1" showLastColumn="1" showRowStripes="1"/>
</table>
</file>

<file path=xl/tables/table344.xml><?xml version="1.0" encoding="utf-8"?>
<table xmlns="http://schemas.openxmlformats.org/spreadsheetml/2006/main" headerRowCount="0" ref="C532:D532" displayName="Table_344" name="Table_344" id="344">
  <tableColumns count="2">
    <tableColumn name="Column1" id="1"/>
    <tableColumn name="Column2" id="2"/>
  </tableColumns>
  <tableStyleInfo name="BOGOTA-style 302" showColumnStripes="0" showFirstColumn="1" showLastColumn="1" showRowStripes="1"/>
</table>
</file>

<file path=xl/tables/table345.xml><?xml version="1.0" encoding="utf-8"?>
<table xmlns="http://schemas.openxmlformats.org/spreadsheetml/2006/main" headerRowCount="0" ref="C533:H533" displayName="Table_345" name="Table_345" id="3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03" showColumnStripes="0" showFirstColumn="1" showLastColumn="1" showRowStripes="1"/>
</table>
</file>

<file path=xl/tables/table346.xml><?xml version="1.0" encoding="utf-8"?>
<table xmlns="http://schemas.openxmlformats.org/spreadsheetml/2006/main" headerRowCount="0" ref="N533" displayName="Table_346" name="Table_346" id="346">
  <tableColumns count="1">
    <tableColumn name="Column1" id="1"/>
  </tableColumns>
  <tableStyleInfo name="BOGOTA-style 304" showColumnStripes="0" showFirstColumn="1" showLastColumn="1" showRowStripes="1"/>
</table>
</file>

<file path=xl/tables/table347.xml><?xml version="1.0" encoding="utf-8"?>
<table xmlns="http://schemas.openxmlformats.org/spreadsheetml/2006/main" headerRowCount="0" ref="C534:H536" displayName="Table_347" name="Table_347" id="3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05" showColumnStripes="0" showFirstColumn="1" showLastColumn="1" showRowStripes="1"/>
</table>
</file>

<file path=xl/tables/table348.xml><?xml version="1.0" encoding="utf-8"?>
<table xmlns="http://schemas.openxmlformats.org/spreadsheetml/2006/main" headerRowCount="0" ref="N534:N536" displayName="Table_348" name="Table_348" id="348">
  <tableColumns count="1">
    <tableColumn name="Column1" id="1"/>
  </tableColumns>
  <tableStyleInfo name="BOGOTA-style 306" showColumnStripes="0" showFirstColumn="1" showLastColumn="1" showRowStripes="1"/>
</table>
</file>

<file path=xl/tables/table349.xml><?xml version="1.0" encoding="utf-8"?>
<table xmlns="http://schemas.openxmlformats.org/spreadsheetml/2006/main" headerRowCount="0" ref="C537:D537" displayName="Table_349" name="Table_349" id="349">
  <tableColumns count="2">
    <tableColumn name="Column1" id="1"/>
    <tableColumn name="Column2" id="2"/>
  </tableColumns>
  <tableStyleInfo name="BOGOTA-style 307" showColumnStripes="0" showFirstColumn="1" showLastColumn="1" showRowStripes="1"/>
</table>
</file>

<file path=xl/tables/table350.xml><?xml version="1.0" encoding="utf-8"?>
<table xmlns="http://schemas.openxmlformats.org/spreadsheetml/2006/main" headerRowCount="0" ref="C539:D539" displayName="Table_350" name="Table_350" id="350">
  <tableColumns count="2">
    <tableColumn name="Column1" id="1"/>
    <tableColumn name="Column2" id="2"/>
  </tableColumns>
  <tableStyleInfo name="BOGOTA-style 308" showColumnStripes="0" showFirstColumn="1" showLastColumn="1" showRowStripes="1"/>
</table>
</file>

<file path=xl/tables/table351.xml><?xml version="1.0" encoding="utf-8"?>
<table xmlns="http://schemas.openxmlformats.org/spreadsheetml/2006/main" headerRowCount="0" ref="C540:D540" displayName="Table_351" name="Table_351" id="351">
  <tableColumns count="2">
    <tableColumn name="Column1" id="1"/>
    <tableColumn name="Column2" id="2"/>
  </tableColumns>
  <tableStyleInfo name="BOGOTA-style 309" showColumnStripes="0" showFirstColumn="1" showLastColumn="1" showRowStripes="1"/>
</table>
</file>

<file path=xl/tables/table352.xml><?xml version="1.0" encoding="utf-8"?>
<table xmlns="http://schemas.openxmlformats.org/spreadsheetml/2006/main" headerRowCount="0" ref="N540" displayName="Table_352" name="Table_352" id="352">
  <tableColumns count="1">
    <tableColumn name="Column1" id="1"/>
  </tableColumns>
  <tableStyleInfo name="BOGOTA-style 310" showColumnStripes="0" showFirstColumn="1" showLastColumn="1" showRowStripes="1"/>
</table>
</file>

<file path=xl/tables/table353.xml><?xml version="1.0" encoding="utf-8"?>
<table xmlns="http://schemas.openxmlformats.org/spreadsheetml/2006/main" headerRowCount="0" ref="N541" displayName="Table_353" name="Table_353" id="353">
  <tableColumns count="1">
    <tableColumn name="Column1" id="1"/>
  </tableColumns>
  <tableStyleInfo name="BOGOTA-style 311" showColumnStripes="0" showFirstColumn="1" showLastColumn="1" showRowStripes="1"/>
</table>
</file>

<file path=xl/tables/table354.xml><?xml version="1.0" encoding="utf-8"?>
<table xmlns="http://schemas.openxmlformats.org/spreadsheetml/2006/main" headerRowCount="0" ref="N542" displayName="Table_354" name="Table_354" id="354">
  <tableColumns count="1">
    <tableColumn name="Column1" id="1"/>
  </tableColumns>
  <tableStyleInfo name="BOGOTA-style 312" showColumnStripes="0" showFirstColumn="1" showLastColumn="1" showRowStripes="1"/>
</table>
</file>

<file path=xl/tables/table355.xml><?xml version="1.0" encoding="utf-8"?>
<table xmlns="http://schemas.openxmlformats.org/spreadsheetml/2006/main" headerRowCount="0" ref="C544:H544" displayName="Table_355" name="Table_355" id="3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13" showColumnStripes="0" showFirstColumn="1" showLastColumn="1" showRowStripes="1"/>
</table>
</file>

<file path=xl/tables/table356.xml><?xml version="1.0" encoding="utf-8"?>
<table xmlns="http://schemas.openxmlformats.org/spreadsheetml/2006/main" headerRowCount="0" ref="N544" displayName="Table_356" name="Table_356" id="356">
  <tableColumns count="1">
    <tableColumn name="Column1" id="1"/>
  </tableColumns>
  <tableStyleInfo name="BOGOTA-style 314" showColumnStripes="0" showFirstColumn="1" showLastColumn="1" showRowStripes="1"/>
</table>
</file>

<file path=xl/tables/table357.xml><?xml version="1.0" encoding="utf-8"?>
<table xmlns="http://schemas.openxmlformats.org/spreadsheetml/2006/main" headerRowCount="0" ref="C546:E546" displayName="Table_357" name="Table_357" id="357">
  <tableColumns count="3">
    <tableColumn name="Column1" id="1"/>
    <tableColumn name="Column2" id="2"/>
    <tableColumn name="Column3" id="3"/>
  </tableColumns>
  <tableStyleInfo name="BOGOTA-style 315" showColumnStripes="0" showFirstColumn="1" showLastColumn="1" showRowStripes="1"/>
</table>
</file>

<file path=xl/tables/table358.xml><?xml version="1.0" encoding="utf-8"?>
<table xmlns="http://schemas.openxmlformats.org/spreadsheetml/2006/main" headerRowCount="0" ref="N547:N548" displayName="Table_358" name="Table_358" id="358">
  <tableColumns count="1">
    <tableColumn name="Column1" id="1"/>
  </tableColumns>
  <tableStyleInfo name="BOGOTA-style 316" showColumnStripes="0" showFirstColumn="1" showLastColumn="1" showRowStripes="1"/>
</table>
</file>

<file path=xl/tables/table359.xml><?xml version="1.0" encoding="utf-8"?>
<table xmlns="http://schemas.openxmlformats.org/spreadsheetml/2006/main" headerRowCount="0" ref="C550:D550" displayName="Table_359" name="Table_359" id="359">
  <tableColumns count="2">
    <tableColumn name="Column1" id="1"/>
    <tableColumn name="Column2" id="2"/>
  </tableColumns>
  <tableStyleInfo name="BOGOTA-style 317" showColumnStripes="0" showFirstColumn="1" showLastColumn="1" showRowStripes="1"/>
</table>
</file>

<file path=xl/tables/table360.xml><?xml version="1.0" encoding="utf-8"?>
<table xmlns="http://schemas.openxmlformats.org/spreadsheetml/2006/main" headerRowCount="0" ref="C551:D551" displayName="Table_360" name="Table_360" id="360">
  <tableColumns count="2">
    <tableColumn name="Column1" id="1"/>
    <tableColumn name="Column2" id="2"/>
  </tableColumns>
  <tableStyleInfo name="BOGOTA-style 318" showColumnStripes="0" showFirstColumn="1" showLastColumn="1" showRowStripes="1"/>
</table>
</file>

<file path=xl/tables/table361.xml><?xml version="1.0" encoding="utf-8"?>
<table xmlns="http://schemas.openxmlformats.org/spreadsheetml/2006/main" headerRowCount="0" ref="C555:E555" displayName="Table_361" name="Table_361" id="361">
  <tableColumns count="3">
    <tableColumn name="Column1" id="1"/>
    <tableColumn name="Column2" id="2"/>
    <tableColumn name="Column3" id="3"/>
  </tableColumns>
  <tableStyleInfo name="BOGOTA-style 319" showColumnStripes="0" showFirstColumn="1" showLastColumn="1" showRowStripes="1"/>
</table>
</file>

<file path=xl/tables/table362.xml><?xml version="1.0" encoding="utf-8"?>
<table xmlns="http://schemas.openxmlformats.org/spreadsheetml/2006/main" headerRowCount="0" ref="N555" displayName="Table_362" name="Table_362" id="362">
  <tableColumns count="1">
    <tableColumn name="Column1" id="1"/>
  </tableColumns>
  <tableStyleInfo name="BOGOTA-style 320" showColumnStripes="0" showFirstColumn="1" showLastColumn="1" showRowStripes="1"/>
</table>
</file>

<file path=xl/tables/table363.xml><?xml version="1.0" encoding="utf-8"?>
<table xmlns="http://schemas.openxmlformats.org/spreadsheetml/2006/main" headerRowCount="0" ref="C556:E556" displayName="Table_363" name="Table_363" id="363">
  <tableColumns count="3">
    <tableColumn name="Column1" id="1"/>
    <tableColumn name="Column2" id="2"/>
    <tableColumn name="Column3" id="3"/>
  </tableColumns>
  <tableStyleInfo name="BOGOTA-style 321" showColumnStripes="0" showFirstColumn="1" showLastColumn="1" showRowStripes="1"/>
</table>
</file>

<file path=xl/tables/table364.xml><?xml version="1.0" encoding="utf-8"?>
<table xmlns="http://schemas.openxmlformats.org/spreadsheetml/2006/main" headerRowCount="0" ref="C560:D560" displayName="Table_364" name="Table_364" id="364">
  <tableColumns count="2">
    <tableColumn name="Column1" id="1"/>
    <tableColumn name="Column2" id="2"/>
  </tableColumns>
  <tableStyleInfo name="BOGOTA-style 322" showColumnStripes="0" showFirstColumn="1" showLastColumn="1" showRowStripes="1"/>
</table>
</file>

<file path=xl/tables/table365.xml><?xml version="1.0" encoding="utf-8"?>
<table xmlns="http://schemas.openxmlformats.org/spreadsheetml/2006/main" headerRowCount="0" ref="C561:E561" displayName="Table_365" name="Table_365" id="365">
  <tableColumns count="3">
    <tableColumn name="Column1" id="1"/>
    <tableColumn name="Column2" id="2"/>
    <tableColumn name="Column3" id="3"/>
  </tableColumns>
  <tableStyleInfo name="BOGOTA-style 323" showColumnStripes="0" showFirstColumn="1" showLastColumn="1" showRowStripes="1"/>
</table>
</file>

<file path=xl/tables/table366.xml><?xml version="1.0" encoding="utf-8"?>
<table xmlns="http://schemas.openxmlformats.org/spreadsheetml/2006/main" headerRowCount="0" ref="C562:G562" displayName="Table_366" name="Table_366" id="366">
  <tableColumns count="5">
    <tableColumn name="Column1" id="1"/>
    <tableColumn name="Column2" id="2"/>
    <tableColumn name="Column3" id="3"/>
    <tableColumn name="Column4" id="4"/>
    <tableColumn name="Column5" id="5"/>
  </tableColumns>
  <tableStyleInfo name="BOGOTA-style 324" showColumnStripes="0" showFirstColumn="1" showLastColumn="1" showRowStripes="1"/>
</table>
</file>

<file path=xl/tables/table367.xml><?xml version="1.0" encoding="utf-8"?>
<table xmlns="http://schemas.openxmlformats.org/spreadsheetml/2006/main" headerRowCount="0" ref="C563:H564" displayName="Table_367" name="Table_367" id="3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25" showColumnStripes="0" showFirstColumn="1" showLastColumn="1" showRowStripes="1"/>
</table>
</file>

<file path=xl/tables/table368.xml><?xml version="1.0" encoding="utf-8"?>
<table xmlns="http://schemas.openxmlformats.org/spreadsheetml/2006/main" headerRowCount="0" ref="N563:N564" displayName="Table_368" name="Table_368" id="368">
  <tableColumns count="1">
    <tableColumn name="Column1" id="1"/>
  </tableColumns>
  <tableStyleInfo name="BOGOTA-style 326" showColumnStripes="0" showFirstColumn="1" showLastColumn="1" showRowStripes="1"/>
</table>
</file>

<file path=xl/tables/table369.xml><?xml version="1.0" encoding="utf-8"?>
<table xmlns="http://schemas.openxmlformats.org/spreadsheetml/2006/main" headerRowCount="0" ref="C565:H565" displayName="Table_369" name="Table_369" id="3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27" showColumnStripes="0" showFirstColumn="1" showLastColumn="1" showRowStripes="1"/>
</table>
</file>

<file path=xl/tables/table370.xml><?xml version="1.0" encoding="utf-8"?>
<table xmlns="http://schemas.openxmlformats.org/spreadsheetml/2006/main" headerRowCount="0" ref="N565" displayName="Table_370" name="Table_370" id="370">
  <tableColumns count="1">
    <tableColumn name="Column1" id="1"/>
  </tableColumns>
  <tableStyleInfo name="BOGOTA-style 328" showColumnStripes="0" showFirstColumn="1" showLastColumn="1" showRowStripes="1"/>
</table>
</file>

<file path=xl/tables/table371.xml><?xml version="1.0" encoding="utf-8"?>
<table xmlns="http://schemas.openxmlformats.org/spreadsheetml/2006/main" headerRowCount="0" ref="C566:H566" displayName="Table_371" name="Table_371" id="3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29" showColumnStripes="0" showFirstColumn="1" showLastColumn="1" showRowStripes="1"/>
</table>
</file>

<file path=xl/tables/table372.xml><?xml version="1.0" encoding="utf-8"?>
<table xmlns="http://schemas.openxmlformats.org/spreadsheetml/2006/main" headerRowCount="0" ref="N566" displayName="Table_372" name="Table_372" id="372">
  <tableColumns count="1">
    <tableColumn name="Column1" id="1"/>
  </tableColumns>
  <tableStyleInfo name="BOGOTA-style 330" showColumnStripes="0" showFirstColumn="1" showLastColumn="1" showRowStripes="1"/>
</table>
</file>

<file path=xl/tables/table373.xml><?xml version="1.0" encoding="utf-8"?>
<table xmlns="http://schemas.openxmlformats.org/spreadsheetml/2006/main" headerRowCount="0" ref="C567:H567" displayName="Table_373" name="Table_373" id="3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31" showColumnStripes="0" showFirstColumn="1" showLastColumn="1" showRowStripes="1"/>
</table>
</file>

<file path=xl/tables/table374.xml><?xml version="1.0" encoding="utf-8"?>
<table xmlns="http://schemas.openxmlformats.org/spreadsheetml/2006/main" headerRowCount="0" ref="N567" displayName="Table_374" name="Table_374" id="374">
  <tableColumns count="1">
    <tableColumn name="Column1" id="1"/>
  </tableColumns>
  <tableStyleInfo name="BOGOTA-style 332" showColumnStripes="0" showFirstColumn="1" showLastColumn="1" showRowStripes="1"/>
</table>
</file>

<file path=xl/tables/table375.xml><?xml version="1.0" encoding="utf-8"?>
<table xmlns="http://schemas.openxmlformats.org/spreadsheetml/2006/main" headerRowCount="0" ref="C568:H568" displayName="Table_375" name="Table_375" id="3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33" showColumnStripes="0" showFirstColumn="1" showLastColumn="1" showRowStripes="1"/>
</table>
</file>

<file path=xl/tables/table376.xml><?xml version="1.0" encoding="utf-8"?>
<table xmlns="http://schemas.openxmlformats.org/spreadsheetml/2006/main" headerRowCount="0" ref="N568" displayName="Table_376" name="Table_376" id="376">
  <tableColumns count="1">
    <tableColumn name="Column1" id="1"/>
  </tableColumns>
  <tableStyleInfo name="BOGOTA-style 334" showColumnStripes="0" showFirstColumn="1" showLastColumn="1" showRowStripes="1"/>
</table>
</file>

<file path=xl/tables/table377.xml><?xml version="1.0" encoding="utf-8"?>
<table xmlns="http://schemas.openxmlformats.org/spreadsheetml/2006/main" headerRowCount="0" ref="C569:H570" displayName="Table_377" name="Table_377" id="3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35" showColumnStripes="0" showFirstColumn="1" showLastColumn="1" showRowStripes="1"/>
</table>
</file>

<file path=xl/tables/table378.xml><?xml version="1.0" encoding="utf-8"?>
<table xmlns="http://schemas.openxmlformats.org/spreadsheetml/2006/main" headerRowCount="0" ref="N569:N570" displayName="Table_378" name="Table_378" id="378">
  <tableColumns count="1">
    <tableColumn name="Column1" id="1"/>
  </tableColumns>
  <tableStyleInfo name="BOGOTA-style 336" showColumnStripes="0" showFirstColumn="1" showLastColumn="1" showRowStripes="1"/>
</table>
</file>

<file path=xl/tables/table379.xml><?xml version="1.0" encoding="utf-8"?>
<table xmlns="http://schemas.openxmlformats.org/spreadsheetml/2006/main" headerRowCount="0" ref="C571:H574" displayName="Table_379" name="Table_379" id="3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37" showColumnStripes="0" showFirstColumn="1" showLastColumn="1" showRowStripes="1"/>
</table>
</file>

<file path=xl/tables/table380.xml><?xml version="1.0" encoding="utf-8"?>
<table xmlns="http://schemas.openxmlformats.org/spreadsheetml/2006/main" headerRowCount="0" ref="N571:N572" displayName="Table_380" name="Table_380" id="380">
  <tableColumns count="1">
    <tableColumn name="Column1" id="1"/>
  </tableColumns>
  <tableStyleInfo name="BOGOTA-style 338" showColumnStripes="0" showFirstColumn="1" showLastColumn="1" showRowStripes="1"/>
</table>
</file>

<file path=xl/tables/table381.xml><?xml version="1.0" encoding="utf-8"?>
<table xmlns="http://schemas.openxmlformats.org/spreadsheetml/2006/main" headerRowCount="0" ref="C577:H579" displayName="Table_381" name="Table_381" id="3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39" showColumnStripes="0" showFirstColumn="1" showLastColumn="1" showRowStripes="1"/>
</table>
</file>

<file path=xl/tables/table382.xml><?xml version="1.0" encoding="utf-8"?>
<table xmlns="http://schemas.openxmlformats.org/spreadsheetml/2006/main" headerRowCount="0" ref="N577:N579" displayName="Table_382" name="Table_382" id="382">
  <tableColumns count="1">
    <tableColumn name="Column1" id="1"/>
  </tableColumns>
  <tableStyleInfo name="BOGOTA-style 340" showColumnStripes="0" showFirstColumn="1" showLastColumn="1" showRowStripes="1"/>
</table>
</file>

<file path=xl/tables/table383.xml><?xml version="1.0" encoding="utf-8"?>
<table xmlns="http://schemas.openxmlformats.org/spreadsheetml/2006/main" headerRowCount="0" ref="C580:E580" displayName="Table_383" name="Table_383" id="383">
  <tableColumns count="3">
    <tableColumn name="Column1" id="1"/>
    <tableColumn name="Column2" id="2"/>
    <tableColumn name="Column3" id="3"/>
  </tableColumns>
  <tableStyleInfo name="BOGOTA-style 341" showColumnStripes="0" showFirstColumn="1" showLastColumn="1" showRowStripes="1"/>
</table>
</file>

<file path=xl/tables/table384.xml><?xml version="1.0" encoding="utf-8"?>
<table xmlns="http://schemas.openxmlformats.org/spreadsheetml/2006/main" headerRowCount="0" ref="N580" displayName="Table_384" name="Table_384" id="384">
  <tableColumns count="1">
    <tableColumn name="Column1" id="1"/>
  </tableColumns>
  <tableStyleInfo name="BOGOTA-style 342" showColumnStripes="0" showFirstColumn="1" showLastColumn="1" showRowStripes="1"/>
</table>
</file>

<file path=xl/tables/table385.xml><?xml version="1.0" encoding="utf-8"?>
<table xmlns="http://schemas.openxmlformats.org/spreadsheetml/2006/main" headerRowCount="0" ref="C581:E581" displayName="Table_385" name="Table_385" id="385">
  <tableColumns count="3">
    <tableColumn name="Column1" id="1"/>
    <tableColumn name="Column2" id="2"/>
    <tableColumn name="Column3" id="3"/>
  </tableColumns>
  <tableStyleInfo name="BOGOTA-style 343" showColumnStripes="0" showFirstColumn="1" showLastColumn="1" showRowStripes="1"/>
</table>
</file>

<file path=xl/tables/table386.xml><?xml version="1.0" encoding="utf-8"?>
<table xmlns="http://schemas.openxmlformats.org/spreadsheetml/2006/main" headerRowCount="0" ref="C582:H582" displayName="Table_386" name="Table_386" id="3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44" showColumnStripes="0" showFirstColumn="1" showLastColumn="1" showRowStripes="1"/>
</table>
</file>

<file path=xl/tables/table387.xml><?xml version="1.0" encoding="utf-8"?>
<table xmlns="http://schemas.openxmlformats.org/spreadsheetml/2006/main" headerRowCount="0" ref="N582" displayName="Table_387" name="Table_387" id="387">
  <tableColumns count="1">
    <tableColumn name="Column1" id="1"/>
  </tableColumns>
  <tableStyleInfo name="BOGOTA-style 345" showColumnStripes="0" showFirstColumn="1" showLastColumn="1" showRowStripes="1"/>
</table>
</file>

<file path=xl/tables/table388.xml><?xml version="1.0" encoding="utf-8"?>
<table xmlns="http://schemas.openxmlformats.org/spreadsheetml/2006/main" headerRowCount="0" ref="C584:E584" displayName="Table_388" name="Table_388" id="388">
  <tableColumns count="3">
    <tableColumn name="Column1" id="1"/>
    <tableColumn name="Column2" id="2"/>
    <tableColumn name="Column3" id="3"/>
  </tableColumns>
  <tableStyleInfo name="BOGOTA-style 346" showColumnStripes="0" showFirstColumn="1" showLastColumn="1" showRowStripes="1"/>
</table>
</file>

<file path=xl/tables/table389.xml><?xml version="1.0" encoding="utf-8"?>
<table xmlns="http://schemas.openxmlformats.org/spreadsheetml/2006/main" headerRowCount="0" ref="N584" displayName="Table_389" name="Table_389" id="389">
  <tableColumns count="1">
    <tableColumn name="Column1" id="1"/>
  </tableColumns>
  <tableStyleInfo name="BOGOTA-style 347" showColumnStripes="0" showFirstColumn="1" showLastColumn="1" showRowStripes="1"/>
</table>
</file>

<file path=xl/tables/table390.xml><?xml version="1.0" encoding="utf-8"?>
<table xmlns="http://schemas.openxmlformats.org/spreadsheetml/2006/main" headerRowCount="0" ref="C585:E585" displayName="Table_390" name="Table_390" id="390">
  <tableColumns count="3">
    <tableColumn name="Column1" id="1"/>
    <tableColumn name="Column2" id="2"/>
    <tableColumn name="Column3" id="3"/>
  </tableColumns>
  <tableStyleInfo name="BOGOTA-style 348" showColumnStripes="0" showFirstColumn="1" showLastColumn="1" showRowStripes="1"/>
</table>
</file>

<file path=xl/tables/table391.xml><?xml version="1.0" encoding="utf-8"?>
<table xmlns="http://schemas.openxmlformats.org/spreadsheetml/2006/main" headerRowCount="0" ref="N585" displayName="Table_391" name="Table_391" id="391">
  <tableColumns count="1">
    <tableColumn name="Column1" id="1"/>
  </tableColumns>
  <tableStyleInfo name="BOGOTA-style 349" showColumnStripes="0" showFirstColumn="1" showLastColumn="1" showRowStripes="1"/>
</table>
</file>

<file path=xl/tables/table392.xml><?xml version="1.0" encoding="utf-8"?>
<table xmlns="http://schemas.openxmlformats.org/spreadsheetml/2006/main" headerRowCount="0" ref="C586:H586" displayName="Table_392" name="Table_392" id="3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50" showColumnStripes="0" showFirstColumn="1" showLastColumn="1" showRowStripes="1"/>
</table>
</file>

<file path=xl/tables/table393.xml><?xml version="1.0" encoding="utf-8"?>
<table xmlns="http://schemas.openxmlformats.org/spreadsheetml/2006/main" headerRowCount="0" ref="N586" displayName="Table_393" name="Table_393" id="393">
  <tableColumns count="1">
    <tableColumn name="Column1" id="1"/>
  </tableColumns>
  <tableStyleInfo name="BOGOTA-style 351" showColumnStripes="0" showFirstColumn="1" showLastColumn="1" showRowStripes="1"/>
</table>
</file>

<file path=xl/tables/table394.xml><?xml version="1.0" encoding="utf-8"?>
<table xmlns="http://schemas.openxmlformats.org/spreadsheetml/2006/main" headerRowCount="0" ref="C587:H587" displayName="Table_394" name="Table_394" id="3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52" showColumnStripes="0" showFirstColumn="1" showLastColumn="1" showRowStripes="1"/>
</table>
</file>

<file path=xl/tables/table395.xml><?xml version="1.0" encoding="utf-8"?>
<table xmlns="http://schemas.openxmlformats.org/spreadsheetml/2006/main" headerRowCount="0" ref="N587" displayName="Table_395" name="Table_395" id="395">
  <tableColumns count="1">
    <tableColumn name="Column1" id="1"/>
  </tableColumns>
  <tableStyleInfo name="BOGOTA-style 353" showColumnStripes="0" showFirstColumn="1" showLastColumn="1" showRowStripes="1"/>
</table>
</file>

<file path=xl/tables/table396.xml><?xml version="1.0" encoding="utf-8"?>
<table xmlns="http://schemas.openxmlformats.org/spreadsheetml/2006/main" headerRowCount="0" ref="C588:H588" displayName="Table_396" name="Table_396" id="3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54" showColumnStripes="0" showFirstColumn="1" showLastColumn="1" showRowStripes="1"/>
</table>
</file>

<file path=xl/tables/table397.xml><?xml version="1.0" encoding="utf-8"?>
<table xmlns="http://schemas.openxmlformats.org/spreadsheetml/2006/main" headerRowCount="0" ref="N588" displayName="Table_397" name="Table_397" id="397">
  <tableColumns count="1">
    <tableColumn name="Column1" id="1"/>
  </tableColumns>
  <tableStyleInfo name="BOGOTA-style 355" showColumnStripes="0" showFirstColumn="1" showLastColumn="1" showRowStripes="1"/>
</table>
</file>

<file path=xl/tables/table398.xml><?xml version="1.0" encoding="utf-8"?>
<table xmlns="http://schemas.openxmlformats.org/spreadsheetml/2006/main" headerRowCount="0" ref="C589:E590" displayName="Table_398" name="Table_398" id="398">
  <tableColumns count="3">
    <tableColumn name="Column1" id="1"/>
    <tableColumn name="Column2" id="2"/>
    <tableColumn name="Column3" id="3"/>
  </tableColumns>
  <tableStyleInfo name="BOGOTA-style 356" showColumnStripes="0" showFirstColumn="1" showLastColumn="1" showRowStripes="1"/>
</table>
</file>

<file path=xl/tables/table399.xml><?xml version="1.0" encoding="utf-8"?>
<table xmlns="http://schemas.openxmlformats.org/spreadsheetml/2006/main" headerRowCount="0" ref="N589" displayName="Table_399" name="Table_399" id="399">
  <tableColumns count="1">
    <tableColumn name="Column1" id="1"/>
  </tableColumns>
  <tableStyleInfo name="BOGOTA-style 357" showColumnStripes="0" showFirstColumn="1" showLastColumn="1" showRowStripes="1"/>
</table>
</file>

<file path=xl/tables/table400.xml><?xml version="1.0" encoding="utf-8"?>
<table xmlns="http://schemas.openxmlformats.org/spreadsheetml/2006/main" headerRowCount="0" ref="C592:E592" displayName="Table_400" name="Table_400" id="400">
  <tableColumns count="3">
    <tableColumn name="Column1" id="1"/>
    <tableColumn name="Column2" id="2"/>
    <tableColumn name="Column3" id="3"/>
  </tableColumns>
  <tableStyleInfo name="BOGOTA-style 358" showColumnStripes="0" showFirstColumn="1" showLastColumn="1" showRowStripes="1"/>
</table>
</file>

<file path=xl/tables/table401.xml><?xml version="1.0" encoding="utf-8"?>
<table xmlns="http://schemas.openxmlformats.org/spreadsheetml/2006/main" headerRowCount="0" ref="C593:E594" displayName="Table_401" name="Table_401" id="401">
  <tableColumns count="3">
    <tableColumn name="Column1" id="1"/>
    <tableColumn name="Column2" id="2"/>
    <tableColumn name="Column3" id="3"/>
  </tableColumns>
  <tableStyleInfo name="BOGOTA-style 359" showColumnStripes="0" showFirstColumn="1" showLastColumn="1" showRowStripes="1"/>
</table>
</file>

<file path=xl/tables/table402.xml><?xml version="1.0" encoding="utf-8"?>
<table xmlns="http://schemas.openxmlformats.org/spreadsheetml/2006/main" headerRowCount="0" ref="C595:E595" displayName="Table_402" name="Table_402" id="402">
  <tableColumns count="3">
    <tableColumn name="Column1" id="1"/>
    <tableColumn name="Column2" id="2"/>
    <tableColumn name="Column3" id="3"/>
  </tableColumns>
  <tableStyleInfo name="BOGOTA-style 360" showColumnStripes="0" showFirstColumn="1" showLastColumn="1" showRowStripes="1"/>
</table>
</file>

<file path=xl/tables/table403.xml><?xml version="1.0" encoding="utf-8"?>
<table xmlns="http://schemas.openxmlformats.org/spreadsheetml/2006/main" headerRowCount="0" ref="N595" displayName="Table_403" name="Table_403" id="403">
  <tableColumns count="1">
    <tableColumn name="Column1" id="1"/>
  </tableColumns>
  <tableStyleInfo name="BOGOTA-style 361" showColumnStripes="0" showFirstColumn="1" showLastColumn="1" showRowStripes="1"/>
</table>
</file>

<file path=xl/tables/table404.xml><?xml version="1.0" encoding="utf-8"?>
<table xmlns="http://schemas.openxmlformats.org/spreadsheetml/2006/main" headerRowCount="0" ref="C597:H597" displayName="Table_404" name="Table_404" id="4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62" showColumnStripes="0" showFirstColumn="1" showLastColumn="1" showRowStripes="1"/>
</table>
</file>

<file path=xl/tables/table405.xml><?xml version="1.0" encoding="utf-8"?>
<table xmlns="http://schemas.openxmlformats.org/spreadsheetml/2006/main" headerRowCount="0" ref="N597" displayName="Table_405" name="Table_405" id="405">
  <tableColumns count="1">
    <tableColumn name="Column1" id="1"/>
  </tableColumns>
  <tableStyleInfo name="BOGOTA-style 363" showColumnStripes="0" showFirstColumn="1" showLastColumn="1" showRowStripes="1"/>
</table>
</file>

<file path=xl/tables/table406.xml><?xml version="1.0" encoding="utf-8"?>
<table xmlns="http://schemas.openxmlformats.org/spreadsheetml/2006/main" headerRowCount="0" ref="C605:H606" displayName="Table_406" name="Table_406" id="4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364" showColumnStripes="0" showFirstColumn="1" showLastColumn="1" showRowStripes="1"/>
</table>
</file>

<file path=xl/tables/table407.xml><?xml version="1.0" encoding="utf-8"?>
<table xmlns="http://schemas.openxmlformats.org/spreadsheetml/2006/main" headerRowCount="0" ref="N605" displayName="Table_407" name="Table_407" id="407">
  <tableColumns count="1">
    <tableColumn name="Column1" id="1"/>
  </tableColumns>
  <tableStyleInfo name="BOGOTA-style 36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9.xml"/><Relationship Id="rId84" Type="http://schemas.openxmlformats.org/officeDocument/2006/relationships/table" Target="../tables/table41.xml"/><Relationship Id="rId61" Type="http://schemas.openxmlformats.org/officeDocument/2006/relationships/table" Target="../tables/table18.xml"/><Relationship Id="rId83" Type="http://schemas.openxmlformats.org/officeDocument/2006/relationships/table" Target="../tables/table40.xml"/><Relationship Id="rId64" Type="http://schemas.openxmlformats.org/officeDocument/2006/relationships/table" Target="../tables/table21.xml"/><Relationship Id="rId63" Type="http://schemas.openxmlformats.org/officeDocument/2006/relationships/table" Target="../tables/table20.xml"/><Relationship Id="rId85" Type="http://schemas.openxmlformats.org/officeDocument/2006/relationships/table" Target="../tables/table42.xml"/><Relationship Id="rId44" Type="http://schemas.openxmlformats.org/officeDocument/2006/relationships/table" Target="../tables/table1.xml"/><Relationship Id="rId66" Type="http://schemas.openxmlformats.org/officeDocument/2006/relationships/table" Target="../tables/table23.xml"/><Relationship Id="rId65" Type="http://schemas.openxmlformats.org/officeDocument/2006/relationships/table" Target="../tables/table22.xml"/><Relationship Id="rId46" Type="http://schemas.openxmlformats.org/officeDocument/2006/relationships/table" Target="../tables/table3.xml"/><Relationship Id="rId68" Type="http://schemas.openxmlformats.org/officeDocument/2006/relationships/table" Target="../tables/table25.xml"/><Relationship Id="rId45" Type="http://schemas.openxmlformats.org/officeDocument/2006/relationships/table" Target="../tables/table2.xml"/><Relationship Id="rId67" Type="http://schemas.openxmlformats.org/officeDocument/2006/relationships/table" Target="../tables/table24.xml"/><Relationship Id="rId80" Type="http://schemas.openxmlformats.org/officeDocument/2006/relationships/table" Target="../tables/table37.xml"/><Relationship Id="rId60" Type="http://schemas.openxmlformats.org/officeDocument/2006/relationships/table" Target="../tables/table17.xml"/><Relationship Id="rId82" Type="http://schemas.openxmlformats.org/officeDocument/2006/relationships/table" Target="../tables/table39.xml"/><Relationship Id="rId81" Type="http://schemas.openxmlformats.org/officeDocument/2006/relationships/table" Target="../tables/table38.xml"/><Relationship Id="rId1" Type="http://schemas.openxmlformats.org/officeDocument/2006/relationships/drawing" Target="../drawings/drawing1.xml"/><Relationship Id="rId48" Type="http://schemas.openxmlformats.org/officeDocument/2006/relationships/table" Target="../tables/table5.xml"/><Relationship Id="rId47" Type="http://schemas.openxmlformats.org/officeDocument/2006/relationships/table" Target="../tables/table4.xml"/><Relationship Id="rId69" Type="http://schemas.openxmlformats.org/officeDocument/2006/relationships/table" Target="../tables/table26.xml"/><Relationship Id="rId49" Type="http://schemas.openxmlformats.org/officeDocument/2006/relationships/table" Target="../tables/table6.xml"/><Relationship Id="rId51" Type="http://schemas.openxmlformats.org/officeDocument/2006/relationships/table" Target="../tables/table8.xml"/><Relationship Id="rId73" Type="http://schemas.openxmlformats.org/officeDocument/2006/relationships/table" Target="../tables/table30.xml"/><Relationship Id="rId50" Type="http://schemas.openxmlformats.org/officeDocument/2006/relationships/table" Target="../tables/table7.xml"/><Relationship Id="rId72" Type="http://schemas.openxmlformats.org/officeDocument/2006/relationships/table" Target="../tables/table29.xml"/><Relationship Id="rId53" Type="http://schemas.openxmlformats.org/officeDocument/2006/relationships/table" Target="../tables/table10.xml"/><Relationship Id="rId75" Type="http://schemas.openxmlformats.org/officeDocument/2006/relationships/table" Target="../tables/table32.xml"/><Relationship Id="rId52" Type="http://schemas.openxmlformats.org/officeDocument/2006/relationships/table" Target="../tables/table9.xml"/><Relationship Id="rId74" Type="http://schemas.openxmlformats.org/officeDocument/2006/relationships/table" Target="../tables/table31.xml"/><Relationship Id="rId55" Type="http://schemas.openxmlformats.org/officeDocument/2006/relationships/table" Target="../tables/table12.xml"/><Relationship Id="rId77" Type="http://schemas.openxmlformats.org/officeDocument/2006/relationships/table" Target="../tables/table34.xml"/><Relationship Id="rId54" Type="http://schemas.openxmlformats.org/officeDocument/2006/relationships/table" Target="../tables/table11.xml"/><Relationship Id="rId76" Type="http://schemas.openxmlformats.org/officeDocument/2006/relationships/table" Target="../tables/table33.xml"/><Relationship Id="rId57" Type="http://schemas.openxmlformats.org/officeDocument/2006/relationships/table" Target="../tables/table14.xml"/><Relationship Id="rId79" Type="http://schemas.openxmlformats.org/officeDocument/2006/relationships/table" Target="../tables/table36.xml"/><Relationship Id="rId56" Type="http://schemas.openxmlformats.org/officeDocument/2006/relationships/table" Target="../tables/table13.xml"/><Relationship Id="rId78" Type="http://schemas.openxmlformats.org/officeDocument/2006/relationships/table" Target="../tables/table35.xml"/><Relationship Id="rId71" Type="http://schemas.openxmlformats.org/officeDocument/2006/relationships/table" Target="../tables/table28.xml"/><Relationship Id="rId70" Type="http://schemas.openxmlformats.org/officeDocument/2006/relationships/table" Target="../tables/table27.xml"/><Relationship Id="rId59" Type="http://schemas.openxmlformats.org/officeDocument/2006/relationships/table" Target="../tables/table16.xml"/><Relationship Id="rId58" Type="http://schemas.openxmlformats.org/officeDocument/2006/relationships/table" Target="../tables/table15.xml"/></Relationships>
</file>

<file path=xl/worksheets/_rels/sheet2.xml.rels><?xml version="1.0" encoding="UTF-8" standalone="yes"?><Relationships xmlns="http://schemas.openxmlformats.org/package/2006/relationships"><Relationship Id="rId509" Type="http://schemas.openxmlformats.org/officeDocument/2006/relationships/table" Target="../tables/table185.xml"/><Relationship Id="rId508" Type="http://schemas.openxmlformats.org/officeDocument/2006/relationships/table" Target="../tables/table184.xml"/><Relationship Id="rId629" Type="http://schemas.openxmlformats.org/officeDocument/2006/relationships/table" Target="../tables/table305.xml"/><Relationship Id="rId503" Type="http://schemas.openxmlformats.org/officeDocument/2006/relationships/table" Target="../tables/table179.xml"/><Relationship Id="rId624" Type="http://schemas.openxmlformats.org/officeDocument/2006/relationships/table" Target="../tables/table300.xml"/><Relationship Id="rId502" Type="http://schemas.openxmlformats.org/officeDocument/2006/relationships/table" Target="../tables/table178.xml"/><Relationship Id="rId623" Type="http://schemas.openxmlformats.org/officeDocument/2006/relationships/table" Target="../tables/table299.xml"/><Relationship Id="rId501" Type="http://schemas.openxmlformats.org/officeDocument/2006/relationships/table" Target="../tables/table177.xml"/><Relationship Id="rId622" Type="http://schemas.openxmlformats.org/officeDocument/2006/relationships/table" Target="../tables/table298.xml"/><Relationship Id="rId500" Type="http://schemas.openxmlformats.org/officeDocument/2006/relationships/table" Target="../tables/table176.xml"/><Relationship Id="rId621" Type="http://schemas.openxmlformats.org/officeDocument/2006/relationships/table" Target="../tables/table297.xml"/><Relationship Id="rId507" Type="http://schemas.openxmlformats.org/officeDocument/2006/relationships/table" Target="../tables/table183.xml"/><Relationship Id="rId628" Type="http://schemas.openxmlformats.org/officeDocument/2006/relationships/table" Target="../tables/table304.xml"/><Relationship Id="rId506" Type="http://schemas.openxmlformats.org/officeDocument/2006/relationships/table" Target="../tables/table182.xml"/><Relationship Id="rId627" Type="http://schemas.openxmlformats.org/officeDocument/2006/relationships/table" Target="../tables/table303.xml"/><Relationship Id="rId505" Type="http://schemas.openxmlformats.org/officeDocument/2006/relationships/table" Target="../tables/table181.xml"/><Relationship Id="rId626" Type="http://schemas.openxmlformats.org/officeDocument/2006/relationships/table" Target="../tables/table302.xml"/><Relationship Id="rId504" Type="http://schemas.openxmlformats.org/officeDocument/2006/relationships/table" Target="../tables/table180.xml"/><Relationship Id="rId625" Type="http://schemas.openxmlformats.org/officeDocument/2006/relationships/table" Target="../tables/table301.xml"/><Relationship Id="rId620" Type="http://schemas.openxmlformats.org/officeDocument/2006/relationships/table" Target="../tables/table296.xml"/><Relationship Id="rId619" Type="http://schemas.openxmlformats.org/officeDocument/2006/relationships/table" Target="../tables/table295.xml"/><Relationship Id="rId618" Type="http://schemas.openxmlformats.org/officeDocument/2006/relationships/table" Target="../tables/table294.xml"/><Relationship Id="rId613" Type="http://schemas.openxmlformats.org/officeDocument/2006/relationships/table" Target="../tables/table289.xml"/><Relationship Id="rId612" Type="http://schemas.openxmlformats.org/officeDocument/2006/relationships/table" Target="../tables/table288.xml"/><Relationship Id="rId611" Type="http://schemas.openxmlformats.org/officeDocument/2006/relationships/table" Target="../tables/table287.xml"/><Relationship Id="rId610" Type="http://schemas.openxmlformats.org/officeDocument/2006/relationships/table" Target="../tables/table286.xml"/><Relationship Id="rId731" Type="http://schemas.openxmlformats.org/officeDocument/2006/relationships/table" Target="../tables/table407.xml"/><Relationship Id="rId617" Type="http://schemas.openxmlformats.org/officeDocument/2006/relationships/table" Target="../tables/table293.xml"/><Relationship Id="rId616" Type="http://schemas.openxmlformats.org/officeDocument/2006/relationships/table" Target="../tables/table292.xml"/><Relationship Id="rId615" Type="http://schemas.openxmlformats.org/officeDocument/2006/relationships/table" Target="../tables/table291.xml"/><Relationship Id="rId614" Type="http://schemas.openxmlformats.org/officeDocument/2006/relationships/table" Target="../tables/table290.xml"/><Relationship Id="rId730" Type="http://schemas.openxmlformats.org/officeDocument/2006/relationships/table" Target="../tables/table406.xml"/><Relationship Id="rId409" Type="http://schemas.openxmlformats.org/officeDocument/2006/relationships/table" Target="../tables/table85.xml"/><Relationship Id="rId404" Type="http://schemas.openxmlformats.org/officeDocument/2006/relationships/table" Target="../tables/table80.xml"/><Relationship Id="rId525" Type="http://schemas.openxmlformats.org/officeDocument/2006/relationships/table" Target="../tables/table201.xml"/><Relationship Id="rId646" Type="http://schemas.openxmlformats.org/officeDocument/2006/relationships/table" Target="../tables/table322.xml"/><Relationship Id="rId403" Type="http://schemas.openxmlformats.org/officeDocument/2006/relationships/table" Target="../tables/table79.xml"/><Relationship Id="rId524" Type="http://schemas.openxmlformats.org/officeDocument/2006/relationships/table" Target="../tables/table200.xml"/><Relationship Id="rId645" Type="http://schemas.openxmlformats.org/officeDocument/2006/relationships/table" Target="../tables/table321.xml"/><Relationship Id="rId402" Type="http://schemas.openxmlformats.org/officeDocument/2006/relationships/table" Target="../tables/table78.xml"/><Relationship Id="rId523" Type="http://schemas.openxmlformats.org/officeDocument/2006/relationships/table" Target="../tables/table199.xml"/><Relationship Id="rId644" Type="http://schemas.openxmlformats.org/officeDocument/2006/relationships/table" Target="../tables/table320.xml"/><Relationship Id="rId401" Type="http://schemas.openxmlformats.org/officeDocument/2006/relationships/table" Target="../tables/table77.xml"/><Relationship Id="rId522" Type="http://schemas.openxmlformats.org/officeDocument/2006/relationships/table" Target="../tables/table198.xml"/><Relationship Id="rId643" Type="http://schemas.openxmlformats.org/officeDocument/2006/relationships/table" Target="../tables/table319.xml"/><Relationship Id="rId408" Type="http://schemas.openxmlformats.org/officeDocument/2006/relationships/table" Target="../tables/table84.xml"/><Relationship Id="rId529" Type="http://schemas.openxmlformats.org/officeDocument/2006/relationships/table" Target="../tables/table205.xml"/><Relationship Id="rId407" Type="http://schemas.openxmlformats.org/officeDocument/2006/relationships/table" Target="../tables/table83.xml"/><Relationship Id="rId528" Type="http://schemas.openxmlformats.org/officeDocument/2006/relationships/table" Target="../tables/table204.xml"/><Relationship Id="rId649" Type="http://schemas.openxmlformats.org/officeDocument/2006/relationships/table" Target="../tables/table325.xml"/><Relationship Id="rId406" Type="http://schemas.openxmlformats.org/officeDocument/2006/relationships/table" Target="../tables/table82.xml"/><Relationship Id="rId527" Type="http://schemas.openxmlformats.org/officeDocument/2006/relationships/table" Target="../tables/table203.xml"/><Relationship Id="rId648" Type="http://schemas.openxmlformats.org/officeDocument/2006/relationships/table" Target="../tables/table324.xml"/><Relationship Id="rId405" Type="http://schemas.openxmlformats.org/officeDocument/2006/relationships/table" Target="../tables/table81.xml"/><Relationship Id="rId526" Type="http://schemas.openxmlformats.org/officeDocument/2006/relationships/table" Target="../tables/table202.xml"/><Relationship Id="rId647" Type="http://schemas.openxmlformats.org/officeDocument/2006/relationships/table" Target="../tables/table323.xml"/><Relationship Id="rId400" Type="http://schemas.openxmlformats.org/officeDocument/2006/relationships/table" Target="../tables/table76.xml"/><Relationship Id="rId521" Type="http://schemas.openxmlformats.org/officeDocument/2006/relationships/table" Target="../tables/table197.xml"/><Relationship Id="rId642" Type="http://schemas.openxmlformats.org/officeDocument/2006/relationships/table" Target="../tables/table318.xml"/><Relationship Id="rId520" Type="http://schemas.openxmlformats.org/officeDocument/2006/relationships/table" Target="../tables/table196.xml"/><Relationship Id="rId641" Type="http://schemas.openxmlformats.org/officeDocument/2006/relationships/table" Target="../tables/table317.xml"/><Relationship Id="rId640" Type="http://schemas.openxmlformats.org/officeDocument/2006/relationships/table" Target="../tables/table316.xml"/><Relationship Id="rId519" Type="http://schemas.openxmlformats.org/officeDocument/2006/relationships/table" Target="../tables/table195.xml"/><Relationship Id="rId514" Type="http://schemas.openxmlformats.org/officeDocument/2006/relationships/table" Target="../tables/table190.xml"/><Relationship Id="rId635" Type="http://schemas.openxmlformats.org/officeDocument/2006/relationships/table" Target="../tables/table311.xml"/><Relationship Id="rId513" Type="http://schemas.openxmlformats.org/officeDocument/2006/relationships/table" Target="../tables/table189.xml"/><Relationship Id="rId634" Type="http://schemas.openxmlformats.org/officeDocument/2006/relationships/table" Target="../tables/table310.xml"/><Relationship Id="rId512" Type="http://schemas.openxmlformats.org/officeDocument/2006/relationships/table" Target="../tables/table188.xml"/><Relationship Id="rId633" Type="http://schemas.openxmlformats.org/officeDocument/2006/relationships/table" Target="../tables/table309.xml"/><Relationship Id="rId511" Type="http://schemas.openxmlformats.org/officeDocument/2006/relationships/table" Target="../tables/table187.xml"/><Relationship Id="rId632" Type="http://schemas.openxmlformats.org/officeDocument/2006/relationships/table" Target="../tables/table308.xml"/><Relationship Id="rId518" Type="http://schemas.openxmlformats.org/officeDocument/2006/relationships/table" Target="../tables/table194.xml"/><Relationship Id="rId639" Type="http://schemas.openxmlformats.org/officeDocument/2006/relationships/table" Target="../tables/table315.xml"/><Relationship Id="rId517" Type="http://schemas.openxmlformats.org/officeDocument/2006/relationships/table" Target="../tables/table193.xml"/><Relationship Id="rId638" Type="http://schemas.openxmlformats.org/officeDocument/2006/relationships/table" Target="../tables/table314.xml"/><Relationship Id="rId516" Type="http://schemas.openxmlformats.org/officeDocument/2006/relationships/table" Target="../tables/table192.xml"/><Relationship Id="rId637" Type="http://schemas.openxmlformats.org/officeDocument/2006/relationships/table" Target="../tables/table313.xml"/><Relationship Id="rId515" Type="http://schemas.openxmlformats.org/officeDocument/2006/relationships/table" Target="../tables/table191.xml"/><Relationship Id="rId636" Type="http://schemas.openxmlformats.org/officeDocument/2006/relationships/table" Target="../tables/table312.xml"/><Relationship Id="rId510" Type="http://schemas.openxmlformats.org/officeDocument/2006/relationships/table" Target="../tables/table186.xml"/><Relationship Id="rId631" Type="http://schemas.openxmlformats.org/officeDocument/2006/relationships/table" Target="../tables/table307.xml"/><Relationship Id="rId630" Type="http://schemas.openxmlformats.org/officeDocument/2006/relationships/table" Target="../tables/table306.xml"/><Relationship Id="rId392" Type="http://schemas.openxmlformats.org/officeDocument/2006/relationships/table" Target="../tables/table68.xml"/><Relationship Id="rId391" Type="http://schemas.openxmlformats.org/officeDocument/2006/relationships/table" Target="../tables/table67.xml"/><Relationship Id="rId390" Type="http://schemas.openxmlformats.org/officeDocument/2006/relationships/table" Target="../tables/table66.xml"/><Relationship Id="rId709" Type="http://schemas.openxmlformats.org/officeDocument/2006/relationships/table" Target="../tables/table385.xml"/><Relationship Id="rId708" Type="http://schemas.openxmlformats.org/officeDocument/2006/relationships/table" Target="../tables/table384.xml"/><Relationship Id="rId707" Type="http://schemas.openxmlformats.org/officeDocument/2006/relationships/table" Target="../tables/table383.xml"/><Relationship Id="rId706" Type="http://schemas.openxmlformats.org/officeDocument/2006/relationships/table" Target="../tables/table382.xml"/><Relationship Id="rId1" Type="http://schemas.openxmlformats.org/officeDocument/2006/relationships/drawing" Target="../drawings/drawing2.xml"/><Relationship Id="rId701" Type="http://schemas.openxmlformats.org/officeDocument/2006/relationships/table" Target="../tables/table377.xml"/><Relationship Id="rId700" Type="http://schemas.openxmlformats.org/officeDocument/2006/relationships/table" Target="../tables/table376.xml"/><Relationship Id="rId705" Type="http://schemas.openxmlformats.org/officeDocument/2006/relationships/table" Target="../tables/table381.xml"/><Relationship Id="rId704" Type="http://schemas.openxmlformats.org/officeDocument/2006/relationships/table" Target="../tables/table380.xml"/><Relationship Id="rId703" Type="http://schemas.openxmlformats.org/officeDocument/2006/relationships/table" Target="../tables/table379.xml"/><Relationship Id="rId702" Type="http://schemas.openxmlformats.org/officeDocument/2006/relationships/table" Target="../tables/table378.xml"/><Relationship Id="rId385" Type="http://schemas.openxmlformats.org/officeDocument/2006/relationships/table" Target="../tables/table61.xml"/><Relationship Id="rId384" Type="http://schemas.openxmlformats.org/officeDocument/2006/relationships/table" Target="../tables/table60.xml"/><Relationship Id="rId383" Type="http://schemas.openxmlformats.org/officeDocument/2006/relationships/table" Target="../tables/table59.xml"/><Relationship Id="rId382" Type="http://schemas.openxmlformats.org/officeDocument/2006/relationships/table" Target="../tables/table58.xml"/><Relationship Id="rId389" Type="http://schemas.openxmlformats.org/officeDocument/2006/relationships/table" Target="../tables/table65.xml"/><Relationship Id="rId388" Type="http://schemas.openxmlformats.org/officeDocument/2006/relationships/table" Target="../tables/table64.xml"/><Relationship Id="rId387" Type="http://schemas.openxmlformats.org/officeDocument/2006/relationships/table" Target="../tables/table63.xml"/><Relationship Id="rId386" Type="http://schemas.openxmlformats.org/officeDocument/2006/relationships/table" Target="../tables/table62.xml"/><Relationship Id="rId381" Type="http://schemas.openxmlformats.org/officeDocument/2006/relationships/table" Target="../tables/table57.xml"/><Relationship Id="rId380" Type="http://schemas.openxmlformats.org/officeDocument/2006/relationships/table" Target="../tables/table56.xml"/><Relationship Id="rId379" Type="http://schemas.openxmlformats.org/officeDocument/2006/relationships/table" Target="../tables/table55.xml"/><Relationship Id="rId374" Type="http://schemas.openxmlformats.org/officeDocument/2006/relationships/table" Target="../tables/table50.xml"/><Relationship Id="rId495" Type="http://schemas.openxmlformats.org/officeDocument/2006/relationships/table" Target="../tables/table171.xml"/><Relationship Id="rId373" Type="http://schemas.openxmlformats.org/officeDocument/2006/relationships/table" Target="../tables/table49.xml"/><Relationship Id="rId494" Type="http://schemas.openxmlformats.org/officeDocument/2006/relationships/table" Target="../tables/table170.xml"/><Relationship Id="rId372" Type="http://schemas.openxmlformats.org/officeDocument/2006/relationships/table" Target="../tables/table48.xml"/><Relationship Id="rId493" Type="http://schemas.openxmlformats.org/officeDocument/2006/relationships/table" Target="../tables/table169.xml"/><Relationship Id="rId371" Type="http://schemas.openxmlformats.org/officeDocument/2006/relationships/table" Target="../tables/table47.xml"/><Relationship Id="rId492" Type="http://schemas.openxmlformats.org/officeDocument/2006/relationships/table" Target="../tables/table168.xml"/><Relationship Id="rId378" Type="http://schemas.openxmlformats.org/officeDocument/2006/relationships/table" Target="../tables/table54.xml"/><Relationship Id="rId499" Type="http://schemas.openxmlformats.org/officeDocument/2006/relationships/table" Target="../tables/table175.xml"/><Relationship Id="rId377" Type="http://schemas.openxmlformats.org/officeDocument/2006/relationships/table" Target="../tables/table53.xml"/><Relationship Id="rId498" Type="http://schemas.openxmlformats.org/officeDocument/2006/relationships/table" Target="../tables/table174.xml"/><Relationship Id="rId376" Type="http://schemas.openxmlformats.org/officeDocument/2006/relationships/table" Target="../tables/table52.xml"/><Relationship Id="rId497" Type="http://schemas.openxmlformats.org/officeDocument/2006/relationships/table" Target="../tables/table173.xml"/><Relationship Id="rId375" Type="http://schemas.openxmlformats.org/officeDocument/2006/relationships/table" Target="../tables/table51.xml"/><Relationship Id="rId496" Type="http://schemas.openxmlformats.org/officeDocument/2006/relationships/table" Target="../tables/table172.xml"/><Relationship Id="rId609" Type="http://schemas.openxmlformats.org/officeDocument/2006/relationships/table" Target="../tables/table285.xml"/><Relationship Id="rId608" Type="http://schemas.openxmlformats.org/officeDocument/2006/relationships/table" Target="../tables/table284.xml"/><Relationship Id="rId729" Type="http://schemas.openxmlformats.org/officeDocument/2006/relationships/table" Target="../tables/table405.xml"/><Relationship Id="rId607" Type="http://schemas.openxmlformats.org/officeDocument/2006/relationships/table" Target="../tables/table283.xml"/><Relationship Id="rId728" Type="http://schemas.openxmlformats.org/officeDocument/2006/relationships/table" Target="../tables/table404.xml"/><Relationship Id="rId602" Type="http://schemas.openxmlformats.org/officeDocument/2006/relationships/table" Target="../tables/table278.xml"/><Relationship Id="rId723" Type="http://schemas.openxmlformats.org/officeDocument/2006/relationships/table" Target="../tables/table399.xml"/><Relationship Id="rId601" Type="http://schemas.openxmlformats.org/officeDocument/2006/relationships/table" Target="../tables/table277.xml"/><Relationship Id="rId722" Type="http://schemas.openxmlformats.org/officeDocument/2006/relationships/table" Target="../tables/table398.xml"/><Relationship Id="rId600" Type="http://schemas.openxmlformats.org/officeDocument/2006/relationships/table" Target="../tables/table276.xml"/><Relationship Id="rId721" Type="http://schemas.openxmlformats.org/officeDocument/2006/relationships/table" Target="../tables/table397.xml"/><Relationship Id="rId720" Type="http://schemas.openxmlformats.org/officeDocument/2006/relationships/table" Target="../tables/table396.xml"/><Relationship Id="rId606" Type="http://schemas.openxmlformats.org/officeDocument/2006/relationships/table" Target="../tables/table282.xml"/><Relationship Id="rId727" Type="http://schemas.openxmlformats.org/officeDocument/2006/relationships/table" Target="../tables/table403.xml"/><Relationship Id="rId605" Type="http://schemas.openxmlformats.org/officeDocument/2006/relationships/table" Target="../tables/table281.xml"/><Relationship Id="rId726" Type="http://schemas.openxmlformats.org/officeDocument/2006/relationships/table" Target="../tables/table402.xml"/><Relationship Id="rId604" Type="http://schemas.openxmlformats.org/officeDocument/2006/relationships/table" Target="../tables/table280.xml"/><Relationship Id="rId725" Type="http://schemas.openxmlformats.org/officeDocument/2006/relationships/table" Target="../tables/table401.xml"/><Relationship Id="rId603" Type="http://schemas.openxmlformats.org/officeDocument/2006/relationships/table" Target="../tables/table279.xml"/><Relationship Id="rId724" Type="http://schemas.openxmlformats.org/officeDocument/2006/relationships/table" Target="../tables/table400.xml"/><Relationship Id="rId719" Type="http://schemas.openxmlformats.org/officeDocument/2006/relationships/table" Target="../tables/table395.xml"/><Relationship Id="rId718" Type="http://schemas.openxmlformats.org/officeDocument/2006/relationships/table" Target="../tables/table394.xml"/><Relationship Id="rId717" Type="http://schemas.openxmlformats.org/officeDocument/2006/relationships/table" Target="../tables/table393.xml"/><Relationship Id="rId712" Type="http://schemas.openxmlformats.org/officeDocument/2006/relationships/table" Target="../tables/table388.xml"/><Relationship Id="rId711" Type="http://schemas.openxmlformats.org/officeDocument/2006/relationships/table" Target="../tables/table387.xml"/><Relationship Id="rId710" Type="http://schemas.openxmlformats.org/officeDocument/2006/relationships/table" Target="../tables/table386.xml"/><Relationship Id="rId716" Type="http://schemas.openxmlformats.org/officeDocument/2006/relationships/table" Target="../tables/table392.xml"/><Relationship Id="rId715" Type="http://schemas.openxmlformats.org/officeDocument/2006/relationships/table" Target="../tables/table391.xml"/><Relationship Id="rId714" Type="http://schemas.openxmlformats.org/officeDocument/2006/relationships/table" Target="../tables/table390.xml"/><Relationship Id="rId713" Type="http://schemas.openxmlformats.org/officeDocument/2006/relationships/table" Target="../tables/table389.xml"/><Relationship Id="rId396" Type="http://schemas.openxmlformats.org/officeDocument/2006/relationships/table" Target="../tables/table72.xml"/><Relationship Id="rId395" Type="http://schemas.openxmlformats.org/officeDocument/2006/relationships/table" Target="../tables/table71.xml"/><Relationship Id="rId394" Type="http://schemas.openxmlformats.org/officeDocument/2006/relationships/table" Target="../tables/table70.xml"/><Relationship Id="rId393" Type="http://schemas.openxmlformats.org/officeDocument/2006/relationships/table" Target="../tables/table69.xml"/><Relationship Id="rId399" Type="http://schemas.openxmlformats.org/officeDocument/2006/relationships/table" Target="../tables/table75.xml"/><Relationship Id="rId398" Type="http://schemas.openxmlformats.org/officeDocument/2006/relationships/table" Target="../tables/table74.xml"/><Relationship Id="rId397" Type="http://schemas.openxmlformats.org/officeDocument/2006/relationships/table" Target="../tables/table73.xml"/><Relationship Id="rId590" Type="http://schemas.openxmlformats.org/officeDocument/2006/relationships/table" Target="../tables/table266.xml"/><Relationship Id="rId469" Type="http://schemas.openxmlformats.org/officeDocument/2006/relationships/table" Target="../tables/table145.xml"/><Relationship Id="rId468" Type="http://schemas.openxmlformats.org/officeDocument/2006/relationships/table" Target="../tables/table144.xml"/><Relationship Id="rId589" Type="http://schemas.openxmlformats.org/officeDocument/2006/relationships/table" Target="../tables/table265.xml"/><Relationship Id="rId467" Type="http://schemas.openxmlformats.org/officeDocument/2006/relationships/table" Target="../tables/table143.xml"/><Relationship Id="rId588" Type="http://schemas.openxmlformats.org/officeDocument/2006/relationships/table" Target="../tables/table264.xml"/><Relationship Id="rId462" Type="http://schemas.openxmlformats.org/officeDocument/2006/relationships/table" Target="../tables/table138.xml"/><Relationship Id="rId583" Type="http://schemas.openxmlformats.org/officeDocument/2006/relationships/table" Target="../tables/table259.xml"/><Relationship Id="rId461" Type="http://schemas.openxmlformats.org/officeDocument/2006/relationships/table" Target="../tables/table137.xml"/><Relationship Id="rId582" Type="http://schemas.openxmlformats.org/officeDocument/2006/relationships/table" Target="../tables/table258.xml"/><Relationship Id="rId460" Type="http://schemas.openxmlformats.org/officeDocument/2006/relationships/table" Target="../tables/table136.xml"/><Relationship Id="rId581" Type="http://schemas.openxmlformats.org/officeDocument/2006/relationships/table" Target="../tables/table257.xml"/><Relationship Id="rId580" Type="http://schemas.openxmlformats.org/officeDocument/2006/relationships/table" Target="../tables/table256.xml"/><Relationship Id="rId466" Type="http://schemas.openxmlformats.org/officeDocument/2006/relationships/table" Target="../tables/table142.xml"/><Relationship Id="rId587" Type="http://schemas.openxmlformats.org/officeDocument/2006/relationships/table" Target="../tables/table263.xml"/><Relationship Id="rId465" Type="http://schemas.openxmlformats.org/officeDocument/2006/relationships/table" Target="../tables/table141.xml"/><Relationship Id="rId586" Type="http://schemas.openxmlformats.org/officeDocument/2006/relationships/table" Target="../tables/table262.xml"/><Relationship Id="rId464" Type="http://schemas.openxmlformats.org/officeDocument/2006/relationships/table" Target="../tables/table140.xml"/><Relationship Id="rId585" Type="http://schemas.openxmlformats.org/officeDocument/2006/relationships/table" Target="../tables/table261.xml"/><Relationship Id="rId463" Type="http://schemas.openxmlformats.org/officeDocument/2006/relationships/table" Target="../tables/table139.xml"/><Relationship Id="rId584" Type="http://schemas.openxmlformats.org/officeDocument/2006/relationships/table" Target="../tables/table260.xml"/><Relationship Id="rId459" Type="http://schemas.openxmlformats.org/officeDocument/2006/relationships/table" Target="../tables/table135.xml"/><Relationship Id="rId458" Type="http://schemas.openxmlformats.org/officeDocument/2006/relationships/table" Target="../tables/table134.xml"/><Relationship Id="rId579" Type="http://schemas.openxmlformats.org/officeDocument/2006/relationships/table" Target="../tables/table255.xml"/><Relationship Id="rId457" Type="http://schemas.openxmlformats.org/officeDocument/2006/relationships/table" Target="../tables/table133.xml"/><Relationship Id="rId578" Type="http://schemas.openxmlformats.org/officeDocument/2006/relationships/table" Target="../tables/table254.xml"/><Relationship Id="rId699" Type="http://schemas.openxmlformats.org/officeDocument/2006/relationships/table" Target="../tables/table375.xml"/><Relationship Id="rId456" Type="http://schemas.openxmlformats.org/officeDocument/2006/relationships/table" Target="../tables/table132.xml"/><Relationship Id="rId577" Type="http://schemas.openxmlformats.org/officeDocument/2006/relationships/table" Target="../tables/table253.xml"/><Relationship Id="rId698" Type="http://schemas.openxmlformats.org/officeDocument/2006/relationships/table" Target="../tables/table374.xml"/><Relationship Id="rId451" Type="http://schemas.openxmlformats.org/officeDocument/2006/relationships/table" Target="../tables/table127.xml"/><Relationship Id="rId572" Type="http://schemas.openxmlformats.org/officeDocument/2006/relationships/table" Target="../tables/table248.xml"/><Relationship Id="rId693" Type="http://schemas.openxmlformats.org/officeDocument/2006/relationships/table" Target="../tables/table369.xml"/><Relationship Id="rId450" Type="http://schemas.openxmlformats.org/officeDocument/2006/relationships/table" Target="../tables/table126.xml"/><Relationship Id="rId571" Type="http://schemas.openxmlformats.org/officeDocument/2006/relationships/table" Target="../tables/table247.xml"/><Relationship Id="rId692" Type="http://schemas.openxmlformats.org/officeDocument/2006/relationships/table" Target="../tables/table368.xml"/><Relationship Id="rId570" Type="http://schemas.openxmlformats.org/officeDocument/2006/relationships/table" Target="../tables/table246.xml"/><Relationship Id="rId691" Type="http://schemas.openxmlformats.org/officeDocument/2006/relationships/table" Target="../tables/table367.xml"/><Relationship Id="rId690" Type="http://schemas.openxmlformats.org/officeDocument/2006/relationships/table" Target="../tables/table366.xml"/><Relationship Id="rId455" Type="http://schemas.openxmlformats.org/officeDocument/2006/relationships/table" Target="../tables/table131.xml"/><Relationship Id="rId576" Type="http://schemas.openxmlformats.org/officeDocument/2006/relationships/table" Target="../tables/table252.xml"/><Relationship Id="rId697" Type="http://schemas.openxmlformats.org/officeDocument/2006/relationships/table" Target="../tables/table373.xml"/><Relationship Id="rId454" Type="http://schemas.openxmlformats.org/officeDocument/2006/relationships/table" Target="../tables/table130.xml"/><Relationship Id="rId575" Type="http://schemas.openxmlformats.org/officeDocument/2006/relationships/table" Target="../tables/table251.xml"/><Relationship Id="rId696" Type="http://schemas.openxmlformats.org/officeDocument/2006/relationships/table" Target="../tables/table372.xml"/><Relationship Id="rId453" Type="http://schemas.openxmlformats.org/officeDocument/2006/relationships/table" Target="../tables/table129.xml"/><Relationship Id="rId574" Type="http://schemas.openxmlformats.org/officeDocument/2006/relationships/table" Target="../tables/table250.xml"/><Relationship Id="rId695" Type="http://schemas.openxmlformats.org/officeDocument/2006/relationships/table" Target="../tables/table371.xml"/><Relationship Id="rId452" Type="http://schemas.openxmlformats.org/officeDocument/2006/relationships/table" Target="../tables/table128.xml"/><Relationship Id="rId573" Type="http://schemas.openxmlformats.org/officeDocument/2006/relationships/table" Target="../tables/table249.xml"/><Relationship Id="rId694" Type="http://schemas.openxmlformats.org/officeDocument/2006/relationships/table" Target="../tables/table370.xml"/><Relationship Id="rId370" Type="http://schemas.openxmlformats.org/officeDocument/2006/relationships/table" Target="../tables/table46.xml"/><Relationship Id="rId491" Type="http://schemas.openxmlformats.org/officeDocument/2006/relationships/table" Target="../tables/table167.xml"/><Relationship Id="rId490" Type="http://schemas.openxmlformats.org/officeDocument/2006/relationships/table" Target="../tables/table166.xml"/><Relationship Id="rId369" Type="http://schemas.openxmlformats.org/officeDocument/2006/relationships/table" Target="../tables/table45.xml"/><Relationship Id="rId368" Type="http://schemas.openxmlformats.org/officeDocument/2006/relationships/table" Target="../tables/table44.xml"/><Relationship Id="rId489" Type="http://schemas.openxmlformats.org/officeDocument/2006/relationships/table" Target="../tables/table165.xml"/><Relationship Id="rId484" Type="http://schemas.openxmlformats.org/officeDocument/2006/relationships/table" Target="../tables/table160.xml"/><Relationship Id="rId483" Type="http://schemas.openxmlformats.org/officeDocument/2006/relationships/table" Target="../tables/table159.xml"/><Relationship Id="rId482" Type="http://schemas.openxmlformats.org/officeDocument/2006/relationships/table" Target="../tables/table158.xml"/><Relationship Id="rId481" Type="http://schemas.openxmlformats.org/officeDocument/2006/relationships/table" Target="../tables/table157.xml"/><Relationship Id="rId367" Type="http://schemas.openxmlformats.org/officeDocument/2006/relationships/table" Target="../tables/table43.xml"/><Relationship Id="rId488" Type="http://schemas.openxmlformats.org/officeDocument/2006/relationships/table" Target="../tables/table164.xml"/><Relationship Id="rId487" Type="http://schemas.openxmlformats.org/officeDocument/2006/relationships/table" Target="../tables/table163.xml"/><Relationship Id="rId486" Type="http://schemas.openxmlformats.org/officeDocument/2006/relationships/table" Target="../tables/table162.xml"/><Relationship Id="rId485" Type="http://schemas.openxmlformats.org/officeDocument/2006/relationships/table" Target="../tables/table161.xml"/><Relationship Id="rId480" Type="http://schemas.openxmlformats.org/officeDocument/2006/relationships/table" Target="../tables/table156.xml"/><Relationship Id="rId479" Type="http://schemas.openxmlformats.org/officeDocument/2006/relationships/table" Target="../tables/table155.xml"/><Relationship Id="rId478" Type="http://schemas.openxmlformats.org/officeDocument/2006/relationships/table" Target="../tables/table154.xml"/><Relationship Id="rId599" Type="http://schemas.openxmlformats.org/officeDocument/2006/relationships/table" Target="../tables/table275.xml"/><Relationship Id="rId473" Type="http://schemas.openxmlformats.org/officeDocument/2006/relationships/table" Target="../tables/table149.xml"/><Relationship Id="rId594" Type="http://schemas.openxmlformats.org/officeDocument/2006/relationships/table" Target="../tables/table270.xml"/><Relationship Id="rId472" Type="http://schemas.openxmlformats.org/officeDocument/2006/relationships/table" Target="../tables/table148.xml"/><Relationship Id="rId593" Type="http://schemas.openxmlformats.org/officeDocument/2006/relationships/table" Target="../tables/table269.xml"/><Relationship Id="rId471" Type="http://schemas.openxmlformats.org/officeDocument/2006/relationships/table" Target="../tables/table147.xml"/><Relationship Id="rId592" Type="http://schemas.openxmlformats.org/officeDocument/2006/relationships/table" Target="../tables/table268.xml"/><Relationship Id="rId470" Type="http://schemas.openxmlformats.org/officeDocument/2006/relationships/table" Target="../tables/table146.xml"/><Relationship Id="rId591" Type="http://schemas.openxmlformats.org/officeDocument/2006/relationships/table" Target="../tables/table267.xml"/><Relationship Id="rId477" Type="http://schemas.openxmlformats.org/officeDocument/2006/relationships/table" Target="../tables/table153.xml"/><Relationship Id="rId598" Type="http://schemas.openxmlformats.org/officeDocument/2006/relationships/table" Target="../tables/table274.xml"/><Relationship Id="rId476" Type="http://schemas.openxmlformats.org/officeDocument/2006/relationships/table" Target="../tables/table152.xml"/><Relationship Id="rId597" Type="http://schemas.openxmlformats.org/officeDocument/2006/relationships/table" Target="../tables/table273.xml"/><Relationship Id="rId475" Type="http://schemas.openxmlformats.org/officeDocument/2006/relationships/table" Target="../tables/table151.xml"/><Relationship Id="rId596" Type="http://schemas.openxmlformats.org/officeDocument/2006/relationships/table" Target="../tables/table272.xml"/><Relationship Id="rId474" Type="http://schemas.openxmlformats.org/officeDocument/2006/relationships/table" Target="../tables/table150.xml"/><Relationship Id="rId595" Type="http://schemas.openxmlformats.org/officeDocument/2006/relationships/table" Target="../tables/table271.xml"/><Relationship Id="rId426" Type="http://schemas.openxmlformats.org/officeDocument/2006/relationships/table" Target="../tables/table102.xml"/><Relationship Id="rId547" Type="http://schemas.openxmlformats.org/officeDocument/2006/relationships/table" Target="../tables/table223.xml"/><Relationship Id="rId668" Type="http://schemas.openxmlformats.org/officeDocument/2006/relationships/table" Target="../tables/table344.xml"/><Relationship Id="rId425" Type="http://schemas.openxmlformats.org/officeDocument/2006/relationships/table" Target="../tables/table101.xml"/><Relationship Id="rId546" Type="http://schemas.openxmlformats.org/officeDocument/2006/relationships/table" Target="../tables/table222.xml"/><Relationship Id="rId667" Type="http://schemas.openxmlformats.org/officeDocument/2006/relationships/table" Target="../tables/table343.xml"/><Relationship Id="rId424" Type="http://schemas.openxmlformats.org/officeDocument/2006/relationships/table" Target="../tables/table100.xml"/><Relationship Id="rId545" Type="http://schemas.openxmlformats.org/officeDocument/2006/relationships/table" Target="../tables/table221.xml"/><Relationship Id="rId666" Type="http://schemas.openxmlformats.org/officeDocument/2006/relationships/table" Target="../tables/table342.xml"/><Relationship Id="rId423" Type="http://schemas.openxmlformats.org/officeDocument/2006/relationships/table" Target="../tables/table99.xml"/><Relationship Id="rId544" Type="http://schemas.openxmlformats.org/officeDocument/2006/relationships/table" Target="../tables/table220.xml"/><Relationship Id="rId665" Type="http://schemas.openxmlformats.org/officeDocument/2006/relationships/table" Target="../tables/table341.xml"/><Relationship Id="rId429" Type="http://schemas.openxmlformats.org/officeDocument/2006/relationships/table" Target="../tables/table105.xml"/><Relationship Id="rId428" Type="http://schemas.openxmlformats.org/officeDocument/2006/relationships/table" Target="../tables/table104.xml"/><Relationship Id="rId549" Type="http://schemas.openxmlformats.org/officeDocument/2006/relationships/table" Target="../tables/table225.xml"/><Relationship Id="rId427" Type="http://schemas.openxmlformats.org/officeDocument/2006/relationships/table" Target="../tables/table103.xml"/><Relationship Id="rId548" Type="http://schemas.openxmlformats.org/officeDocument/2006/relationships/table" Target="../tables/table224.xml"/><Relationship Id="rId669" Type="http://schemas.openxmlformats.org/officeDocument/2006/relationships/table" Target="../tables/table345.xml"/><Relationship Id="rId660" Type="http://schemas.openxmlformats.org/officeDocument/2006/relationships/table" Target="../tables/table336.xml"/><Relationship Id="rId422" Type="http://schemas.openxmlformats.org/officeDocument/2006/relationships/table" Target="../tables/table98.xml"/><Relationship Id="rId543" Type="http://schemas.openxmlformats.org/officeDocument/2006/relationships/table" Target="../tables/table219.xml"/><Relationship Id="rId664" Type="http://schemas.openxmlformats.org/officeDocument/2006/relationships/table" Target="../tables/table340.xml"/><Relationship Id="rId421" Type="http://schemas.openxmlformats.org/officeDocument/2006/relationships/table" Target="../tables/table97.xml"/><Relationship Id="rId542" Type="http://schemas.openxmlformats.org/officeDocument/2006/relationships/table" Target="../tables/table218.xml"/><Relationship Id="rId663" Type="http://schemas.openxmlformats.org/officeDocument/2006/relationships/table" Target="../tables/table339.xml"/><Relationship Id="rId420" Type="http://schemas.openxmlformats.org/officeDocument/2006/relationships/table" Target="../tables/table96.xml"/><Relationship Id="rId541" Type="http://schemas.openxmlformats.org/officeDocument/2006/relationships/table" Target="../tables/table217.xml"/><Relationship Id="rId662" Type="http://schemas.openxmlformats.org/officeDocument/2006/relationships/table" Target="../tables/table338.xml"/><Relationship Id="rId540" Type="http://schemas.openxmlformats.org/officeDocument/2006/relationships/table" Target="../tables/table216.xml"/><Relationship Id="rId661" Type="http://schemas.openxmlformats.org/officeDocument/2006/relationships/table" Target="../tables/table337.xml"/><Relationship Id="rId415" Type="http://schemas.openxmlformats.org/officeDocument/2006/relationships/table" Target="../tables/table91.xml"/><Relationship Id="rId536" Type="http://schemas.openxmlformats.org/officeDocument/2006/relationships/table" Target="../tables/table212.xml"/><Relationship Id="rId657" Type="http://schemas.openxmlformats.org/officeDocument/2006/relationships/table" Target="../tables/table333.xml"/><Relationship Id="rId414" Type="http://schemas.openxmlformats.org/officeDocument/2006/relationships/table" Target="../tables/table90.xml"/><Relationship Id="rId535" Type="http://schemas.openxmlformats.org/officeDocument/2006/relationships/table" Target="../tables/table211.xml"/><Relationship Id="rId656" Type="http://schemas.openxmlformats.org/officeDocument/2006/relationships/table" Target="../tables/table332.xml"/><Relationship Id="rId413" Type="http://schemas.openxmlformats.org/officeDocument/2006/relationships/table" Target="../tables/table89.xml"/><Relationship Id="rId534" Type="http://schemas.openxmlformats.org/officeDocument/2006/relationships/table" Target="../tables/table210.xml"/><Relationship Id="rId655" Type="http://schemas.openxmlformats.org/officeDocument/2006/relationships/table" Target="../tables/table331.xml"/><Relationship Id="rId412" Type="http://schemas.openxmlformats.org/officeDocument/2006/relationships/table" Target="../tables/table88.xml"/><Relationship Id="rId533" Type="http://schemas.openxmlformats.org/officeDocument/2006/relationships/table" Target="../tables/table209.xml"/><Relationship Id="rId654" Type="http://schemas.openxmlformats.org/officeDocument/2006/relationships/table" Target="../tables/table330.xml"/><Relationship Id="rId419" Type="http://schemas.openxmlformats.org/officeDocument/2006/relationships/table" Target="../tables/table95.xml"/><Relationship Id="rId418" Type="http://schemas.openxmlformats.org/officeDocument/2006/relationships/table" Target="../tables/table94.xml"/><Relationship Id="rId539" Type="http://schemas.openxmlformats.org/officeDocument/2006/relationships/table" Target="../tables/table215.xml"/><Relationship Id="rId417" Type="http://schemas.openxmlformats.org/officeDocument/2006/relationships/table" Target="../tables/table93.xml"/><Relationship Id="rId538" Type="http://schemas.openxmlformats.org/officeDocument/2006/relationships/table" Target="../tables/table214.xml"/><Relationship Id="rId659" Type="http://schemas.openxmlformats.org/officeDocument/2006/relationships/table" Target="../tables/table335.xml"/><Relationship Id="rId416" Type="http://schemas.openxmlformats.org/officeDocument/2006/relationships/table" Target="../tables/table92.xml"/><Relationship Id="rId537" Type="http://schemas.openxmlformats.org/officeDocument/2006/relationships/table" Target="../tables/table213.xml"/><Relationship Id="rId658" Type="http://schemas.openxmlformats.org/officeDocument/2006/relationships/table" Target="../tables/table334.xml"/><Relationship Id="rId411" Type="http://schemas.openxmlformats.org/officeDocument/2006/relationships/table" Target="../tables/table87.xml"/><Relationship Id="rId532" Type="http://schemas.openxmlformats.org/officeDocument/2006/relationships/table" Target="../tables/table208.xml"/><Relationship Id="rId653" Type="http://schemas.openxmlformats.org/officeDocument/2006/relationships/table" Target="../tables/table329.xml"/><Relationship Id="rId410" Type="http://schemas.openxmlformats.org/officeDocument/2006/relationships/table" Target="../tables/table86.xml"/><Relationship Id="rId531" Type="http://schemas.openxmlformats.org/officeDocument/2006/relationships/table" Target="../tables/table207.xml"/><Relationship Id="rId652" Type="http://schemas.openxmlformats.org/officeDocument/2006/relationships/table" Target="../tables/table328.xml"/><Relationship Id="rId530" Type="http://schemas.openxmlformats.org/officeDocument/2006/relationships/table" Target="../tables/table206.xml"/><Relationship Id="rId651" Type="http://schemas.openxmlformats.org/officeDocument/2006/relationships/table" Target="../tables/table327.xml"/><Relationship Id="rId650" Type="http://schemas.openxmlformats.org/officeDocument/2006/relationships/table" Target="../tables/table326.xml"/><Relationship Id="rId448" Type="http://schemas.openxmlformats.org/officeDocument/2006/relationships/table" Target="../tables/table124.xml"/><Relationship Id="rId569" Type="http://schemas.openxmlformats.org/officeDocument/2006/relationships/table" Target="../tables/table245.xml"/><Relationship Id="rId447" Type="http://schemas.openxmlformats.org/officeDocument/2006/relationships/table" Target="../tables/table123.xml"/><Relationship Id="rId568" Type="http://schemas.openxmlformats.org/officeDocument/2006/relationships/table" Target="../tables/table244.xml"/><Relationship Id="rId689" Type="http://schemas.openxmlformats.org/officeDocument/2006/relationships/table" Target="../tables/table365.xml"/><Relationship Id="rId446" Type="http://schemas.openxmlformats.org/officeDocument/2006/relationships/table" Target="../tables/table122.xml"/><Relationship Id="rId567" Type="http://schemas.openxmlformats.org/officeDocument/2006/relationships/table" Target="../tables/table243.xml"/><Relationship Id="rId688" Type="http://schemas.openxmlformats.org/officeDocument/2006/relationships/table" Target="../tables/table364.xml"/><Relationship Id="rId445" Type="http://schemas.openxmlformats.org/officeDocument/2006/relationships/table" Target="../tables/table121.xml"/><Relationship Id="rId566" Type="http://schemas.openxmlformats.org/officeDocument/2006/relationships/table" Target="../tables/table242.xml"/><Relationship Id="rId687" Type="http://schemas.openxmlformats.org/officeDocument/2006/relationships/table" Target="../tables/table363.xml"/><Relationship Id="rId449" Type="http://schemas.openxmlformats.org/officeDocument/2006/relationships/table" Target="../tables/table125.xml"/><Relationship Id="rId440" Type="http://schemas.openxmlformats.org/officeDocument/2006/relationships/table" Target="../tables/table116.xml"/><Relationship Id="rId561" Type="http://schemas.openxmlformats.org/officeDocument/2006/relationships/table" Target="../tables/table237.xml"/><Relationship Id="rId682" Type="http://schemas.openxmlformats.org/officeDocument/2006/relationships/table" Target="../tables/table358.xml"/><Relationship Id="rId560" Type="http://schemas.openxmlformats.org/officeDocument/2006/relationships/table" Target="../tables/table236.xml"/><Relationship Id="rId681" Type="http://schemas.openxmlformats.org/officeDocument/2006/relationships/table" Target="../tables/table357.xml"/><Relationship Id="rId680" Type="http://schemas.openxmlformats.org/officeDocument/2006/relationships/table" Target="../tables/table356.xml"/><Relationship Id="rId444" Type="http://schemas.openxmlformats.org/officeDocument/2006/relationships/table" Target="../tables/table120.xml"/><Relationship Id="rId565" Type="http://schemas.openxmlformats.org/officeDocument/2006/relationships/table" Target="../tables/table241.xml"/><Relationship Id="rId686" Type="http://schemas.openxmlformats.org/officeDocument/2006/relationships/table" Target="../tables/table362.xml"/><Relationship Id="rId443" Type="http://schemas.openxmlformats.org/officeDocument/2006/relationships/table" Target="../tables/table119.xml"/><Relationship Id="rId564" Type="http://schemas.openxmlformats.org/officeDocument/2006/relationships/table" Target="../tables/table240.xml"/><Relationship Id="rId685" Type="http://schemas.openxmlformats.org/officeDocument/2006/relationships/table" Target="../tables/table361.xml"/><Relationship Id="rId442" Type="http://schemas.openxmlformats.org/officeDocument/2006/relationships/table" Target="../tables/table118.xml"/><Relationship Id="rId563" Type="http://schemas.openxmlformats.org/officeDocument/2006/relationships/table" Target="../tables/table239.xml"/><Relationship Id="rId684" Type="http://schemas.openxmlformats.org/officeDocument/2006/relationships/table" Target="../tables/table360.xml"/><Relationship Id="rId441" Type="http://schemas.openxmlformats.org/officeDocument/2006/relationships/table" Target="../tables/table117.xml"/><Relationship Id="rId562" Type="http://schemas.openxmlformats.org/officeDocument/2006/relationships/table" Target="../tables/table238.xml"/><Relationship Id="rId683" Type="http://schemas.openxmlformats.org/officeDocument/2006/relationships/table" Target="../tables/table359.xml"/><Relationship Id="rId437" Type="http://schemas.openxmlformats.org/officeDocument/2006/relationships/table" Target="../tables/table113.xml"/><Relationship Id="rId558" Type="http://schemas.openxmlformats.org/officeDocument/2006/relationships/table" Target="../tables/table234.xml"/><Relationship Id="rId679" Type="http://schemas.openxmlformats.org/officeDocument/2006/relationships/table" Target="../tables/table355.xml"/><Relationship Id="rId436" Type="http://schemas.openxmlformats.org/officeDocument/2006/relationships/table" Target="../tables/table112.xml"/><Relationship Id="rId557" Type="http://schemas.openxmlformats.org/officeDocument/2006/relationships/table" Target="../tables/table233.xml"/><Relationship Id="rId678" Type="http://schemas.openxmlformats.org/officeDocument/2006/relationships/table" Target="../tables/table354.xml"/><Relationship Id="rId435" Type="http://schemas.openxmlformats.org/officeDocument/2006/relationships/table" Target="../tables/table111.xml"/><Relationship Id="rId556" Type="http://schemas.openxmlformats.org/officeDocument/2006/relationships/table" Target="../tables/table232.xml"/><Relationship Id="rId677" Type="http://schemas.openxmlformats.org/officeDocument/2006/relationships/table" Target="../tables/table353.xml"/><Relationship Id="rId434" Type="http://schemas.openxmlformats.org/officeDocument/2006/relationships/table" Target="../tables/table110.xml"/><Relationship Id="rId555" Type="http://schemas.openxmlformats.org/officeDocument/2006/relationships/table" Target="../tables/table231.xml"/><Relationship Id="rId676" Type="http://schemas.openxmlformats.org/officeDocument/2006/relationships/table" Target="../tables/table352.xml"/><Relationship Id="rId439" Type="http://schemas.openxmlformats.org/officeDocument/2006/relationships/table" Target="../tables/table115.xml"/><Relationship Id="rId438" Type="http://schemas.openxmlformats.org/officeDocument/2006/relationships/table" Target="../tables/table114.xml"/><Relationship Id="rId559" Type="http://schemas.openxmlformats.org/officeDocument/2006/relationships/table" Target="../tables/table235.xml"/><Relationship Id="rId550" Type="http://schemas.openxmlformats.org/officeDocument/2006/relationships/table" Target="../tables/table226.xml"/><Relationship Id="rId671" Type="http://schemas.openxmlformats.org/officeDocument/2006/relationships/table" Target="../tables/table347.xml"/><Relationship Id="rId670" Type="http://schemas.openxmlformats.org/officeDocument/2006/relationships/table" Target="../tables/table346.xml"/><Relationship Id="rId433" Type="http://schemas.openxmlformats.org/officeDocument/2006/relationships/table" Target="../tables/table109.xml"/><Relationship Id="rId554" Type="http://schemas.openxmlformats.org/officeDocument/2006/relationships/table" Target="../tables/table230.xml"/><Relationship Id="rId675" Type="http://schemas.openxmlformats.org/officeDocument/2006/relationships/table" Target="../tables/table351.xml"/><Relationship Id="rId432" Type="http://schemas.openxmlformats.org/officeDocument/2006/relationships/table" Target="../tables/table108.xml"/><Relationship Id="rId553" Type="http://schemas.openxmlformats.org/officeDocument/2006/relationships/table" Target="../tables/table229.xml"/><Relationship Id="rId674" Type="http://schemas.openxmlformats.org/officeDocument/2006/relationships/table" Target="../tables/table350.xml"/><Relationship Id="rId431" Type="http://schemas.openxmlformats.org/officeDocument/2006/relationships/table" Target="../tables/table107.xml"/><Relationship Id="rId552" Type="http://schemas.openxmlformats.org/officeDocument/2006/relationships/table" Target="../tables/table228.xml"/><Relationship Id="rId673" Type="http://schemas.openxmlformats.org/officeDocument/2006/relationships/table" Target="../tables/table349.xml"/><Relationship Id="rId430" Type="http://schemas.openxmlformats.org/officeDocument/2006/relationships/table" Target="../tables/table106.xml"/><Relationship Id="rId551" Type="http://schemas.openxmlformats.org/officeDocument/2006/relationships/table" Target="../tables/table227.xml"/><Relationship Id="rId672" Type="http://schemas.openxmlformats.org/officeDocument/2006/relationships/table" Target="../tables/table34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1.57"/>
    <col customWidth="1" min="3" max="3" width="11.43"/>
    <col customWidth="1" min="4" max="4" width="11.57"/>
    <col customWidth="1" min="5" max="5" width="11.43"/>
    <col customWidth="1" min="6" max="6" width="42.0"/>
    <col customWidth="1" min="7" max="7" width="13.29"/>
    <col customWidth="1" min="8" max="8" width="34.14"/>
    <col customWidth="1" min="9" max="9" width="5.43"/>
    <col customWidth="1" min="10" max="10" width="11.57"/>
    <col customWidth="1" min="11" max="11" width="15.29"/>
    <col customWidth="1" min="12" max="12" width="58.0"/>
    <col customWidth="1" min="13" max="13" width="16.86"/>
    <col customWidth="1" min="14" max="14" width="9.14"/>
    <col customWidth="1" min="15" max="15" width="26.71"/>
    <col customWidth="1" min="16" max="22" width="11.43"/>
    <col customWidth="1" min="23" max="23" width="11.57"/>
    <col customWidth="1" min="24" max="24" width="11.43"/>
    <col customWidth="1" min="25" max="103" width="10.71"/>
  </cols>
  <sheetData>
    <row r="1" ht="18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6" t="s">
        <v>9</v>
      </c>
      <c r="K1" s="6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</row>
    <row r="2" ht="18.75" customHeight="1">
      <c r="A2" s="8" t="s">
        <v>16</v>
      </c>
      <c r="B2" s="9"/>
      <c r="C2" s="10"/>
      <c r="D2" s="11"/>
      <c r="E2" s="12"/>
      <c r="F2" s="10"/>
      <c r="G2" s="10"/>
      <c r="H2" s="10"/>
      <c r="I2" s="13"/>
      <c r="J2" s="14"/>
      <c r="K2" s="14"/>
      <c r="L2" s="10"/>
      <c r="M2" s="13"/>
      <c r="N2" s="10"/>
      <c r="O2" s="10"/>
      <c r="P2" s="1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</row>
    <row r="3" ht="18.75" customHeight="1">
      <c r="A3" s="8" t="s">
        <v>16</v>
      </c>
      <c r="B3" s="15">
        <v>130000.0</v>
      </c>
      <c r="C3" s="16" t="s">
        <v>17</v>
      </c>
      <c r="D3" s="17">
        <v>46038.0</v>
      </c>
      <c r="E3" s="18" t="s">
        <v>18</v>
      </c>
      <c r="F3" s="19" t="s">
        <v>19</v>
      </c>
      <c r="G3" s="19" t="s">
        <v>20</v>
      </c>
      <c r="H3" s="19" t="s">
        <v>21</v>
      </c>
      <c r="I3" s="20" t="s">
        <v>22</v>
      </c>
      <c r="J3" s="21">
        <v>2.1190537E7</v>
      </c>
      <c r="K3" s="21">
        <v>3.112274436E9</v>
      </c>
      <c r="L3" s="16"/>
      <c r="M3" s="20" t="s">
        <v>23</v>
      </c>
      <c r="N3" s="20" t="s">
        <v>24</v>
      </c>
      <c r="O3" s="16" t="s">
        <v>25</v>
      </c>
      <c r="P3" s="1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</row>
    <row r="4" ht="18.75" customHeight="1">
      <c r="A4" s="8" t="s">
        <v>16</v>
      </c>
      <c r="B4" s="9"/>
      <c r="C4" s="22" t="s">
        <v>17</v>
      </c>
      <c r="D4" s="23">
        <v>46038.0</v>
      </c>
      <c r="E4" s="24" t="s">
        <v>26</v>
      </c>
      <c r="F4" s="22" t="s">
        <v>27</v>
      </c>
      <c r="G4" s="22" t="s">
        <v>20</v>
      </c>
      <c r="H4" s="22" t="s">
        <v>28</v>
      </c>
      <c r="I4" s="25" t="s">
        <v>22</v>
      </c>
      <c r="J4" s="26">
        <v>1.121818057E9</v>
      </c>
      <c r="K4" s="26">
        <v>3.212476981E9</v>
      </c>
      <c r="L4" s="27" t="s">
        <v>29</v>
      </c>
      <c r="M4" s="28" t="s">
        <v>30</v>
      </c>
      <c r="N4" s="28" t="s">
        <v>30</v>
      </c>
      <c r="O4" s="22" t="s">
        <v>31</v>
      </c>
      <c r="P4" s="22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 ht="18.75" customHeight="1">
      <c r="A5" s="8" t="s">
        <v>16</v>
      </c>
      <c r="B5" s="2">
        <v>150000.0</v>
      </c>
      <c r="C5" s="16" t="s">
        <v>17</v>
      </c>
      <c r="D5" s="17">
        <v>46038.0</v>
      </c>
      <c r="E5" s="29" t="s">
        <v>32</v>
      </c>
      <c r="F5" s="16" t="s">
        <v>27</v>
      </c>
      <c r="G5" s="16" t="s">
        <v>20</v>
      </c>
      <c r="H5" s="16" t="s">
        <v>33</v>
      </c>
      <c r="I5" s="30" t="s">
        <v>22</v>
      </c>
      <c r="J5" s="31">
        <v>4.0367398E7</v>
      </c>
      <c r="K5" s="31">
        <v>3.11322129E9</v>
      </c>
      <c r="L5" s="16"/>
      <c r="M5" s="20" t="s">
        <v>34</v>
      </c>
      <c r="N5" s="20" t="s">
        <v>24</v>
      </c>
      <c r="O5" s="16" t="s">
        <v>25</v>
      </c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 ht="18.75" customHeight="1">
      <c r="A6" s="8" t="s">
        <v>16</v>
      </c>
      <c r="B6" s="9"/>
      <c r="C6" s="22" t="s">
        <v>17</v>
      </c>
      <c r="D6" s="23">
        <v>46038.0</v>
      </c>
      <c r="E6" s="24" t="s">
        <v>32</v>
      </c>
      <c r="F6" s="22" t="s">
        <v>27</v>
      </c>
      <c r="G6" s="22" t="s">
        <v>20</v>
      </c>
      <c r="H6" s="22" t="s">
        <v>35</v>
      </c>
      <c r="I6" s="25" t="s">
        <v>22</v>
      </c>
      <c r="J6" s="26">
        <v>1.7339894E7</v>
      </c>
      <c r="K6" s="26">
        <v>3.138922888E9</v>
      </c>
      <c r="L6" s="22" t="s">
        <v>36</v>
      </c>
      <c r="M6" s="28" t="s">
        <v>30</v>
      </c>
      <c r="N6" s="28" t="s">
        <v>24</v>
      </c>
      <c r="O6" s="22" t="s">
        <v>25</v>
      </c>
      <c r="P6" s="22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 ht="18.75" customHeight="1">
      <c r="A7" s="8" t="s">
        <v>16</v>
      </c>
      <c r="B7" s="2">
        <v>150000.0</v>
      </c>
      <c r="C7" s="16" t="s">
        <v>17</v>
      </c>
      <c r="D7" s="17">
        <v>46038.0</v>
      </c>
      <c r="E7" s="29" t="s">
        <v>37</v>
      </c>
      <c r="F7" s="16" t="s">
        <v>27</v>
      </c>
      <c r="G7" s="16" t="s">
        <v>20</v>
      </c>
      <c r="H7" s="16" t="s">
        <v>38</v>
      </c>
      <c r="I7" s="30" t="s">
        <v>22</v>
      </c>
      <c r="J7" s="31"/>
      <c r="K7" s="31">
        <v>3.12432947E9</v>
      </c>
      <c r="L7" s="16"/>
      <c r="M7" s="20" t="s">
        <v>39</v>
      </c>
      <c r="N7" s="30" t="s">
        <v>24</v>
      </c>
      <c r="O7" s="16" t="s">
        <v>25</v>
      </c>
      <c r="P7" s="16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 ht="16.5" customHeight="1">
      <c r="A8" s="8" t="s">
        <v>16</v>
      </c>
      <c r="B8" s="32"/>
      <c r="C8" s="22" t="s">
        <v>17</v>
      </c>
      <c r="D8" s="23">
        <v>46038.0</v>
      </c>
      <c r="E8" s="24" t="s">
        <v>40</v>
      </c>
      <c r="F8" s="22" t="s">
        <v>27</v>
      </c>
      <c r="G8" s="22" t="s">
        <v>20</v>
      </c>
      <c r="H8" s="22" t="s">
        <v>41</v>
      </c>
      <c r="I8" s="25" t="s">
        <v>22</v>
      </c>
      <c r="J8" s="26">
        <v>1.24242622E8</v>
      </c>
      <c r="K8" s="26">
        <v>3.12313099E9</v>
      </c>
      <c r="L8" s="27" t="s">
        <v>42</v>
      </c>
      <c r="M8" s="28" t="s">
        <v>30</v>
      </c>
      <c r="N8" s="28" t="s">
        <v>43</v>
      </c>
      <c r="O8" s="22" t="s">
        <v>44</v>
      </c>
      <c r="P8" s="22"/>
      <c r="Q8" s="7"/>
      <c r="R8" s="7"/>
      <c r="S8" s="7"/>
      <c r="T8" s="7"/>
      <c r="U8" s="7"/>
      <c r="V8" s="7"/>
      <c r="W8" s="7">
        <v>46032.382013888884</v>
      </c>
      <c r="X8" s="7" t="s">
        <v>45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 ht="17.25" customHeight="1">
      <c r="A9" s="8" t="s">
        <v>16</v>
      </c>
      <c r="B9" s="33"/>
      <c r="C9" s="22" t="s">
        <v>17</v>
      </c>
      <c r="D9" s="23">
        <v>46038.0</v>
      </c>
      <c r="E9" s="24" t="s">
        <v>46</v>
      </c>
      <c r="F9" s="22" t="s">
        <v>47</v>
      </c>
      <c r="G9" s="22" t="s">
        <v>48</v>
      </c>
      <c r="H9" s="22" t="s">
        <v>49</v>
      </c>
      <c r="I9" s="25" t="s">
        <v>22</v>
      </c>
      <c r="J9" s="26">
        <v>1.122131812E9</v>
      </c>
      <c r="K9" s="26">
        <v>3.168964233E9</v>
      </c>
      <c r="L9" s="27" t="s">
        <v>50</v>
      </c>
      <c r="M9" s="28" t="s">
        <v>30</v>
      </c>
      <c r="N9" s="28" t="s">
        <v>43</v>
      </c>
      <c r="O9" s="22" t="s">
        <v>51</v>
      </c>
      <c r="P9" s="22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 ht="18.75" customHeight="1">
      <c r="A10" s="8" t="s">
        <v>16</v>
      </c>
      <c r="B10" s="2">
        <v>150000.0</v>
      </c>
      <c r="C10" s="16" t="s">
        <v>17</v>
      </c>
      <c r="D10" s="17">
        <v>46038.0</v>
      </c>
      <c r="E10" s="18" t="s">
        <v>52</v>
      </c>
      <c r="F10" s="16" t="s">
        <v>27</v>
      </c>
      <c r="G10" s="16" t="s">
        <v>20</v>
      </c>
      <c r="H10" s="19" t="s">
        <v>53</v>
      </c>
      <c r="I10" s="30" t="s">
        <v>22</v>
      </c>
      <c r="J10" s="21">
        <v>5.1183685E7</v>
      </c>
      <c r="K10" s="21">
        <v>3.212173371E9</v>
      </c>
      <c r="L10" s="16"/>
      <c r="M10" s="20" t="s">
        <v>54</v>
      </c>
      <c r="N10" s="20" t="s">
        <v>24</v>
      </c>
      <c r="O10" s="16" t="s">
        <v>31</v>
      </c>
      <c r="P10" s="1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 ht="18.75" customHeight="1">
      <c r="A11" s="8" t="s">
        <v>16</v>
      </c>
      <c r="B11" s="9"/>
      <c r="C11" s="16" t="s">
        <v>17</v>
      </c>
      <c r="D11" s="17">
        <v>46038.0</v>
      </c>
      <c r="E11" s="29" t="s">
        <v>46</v>
      </c>
      <c r="F11" s="16" t="s">
        <v>55</v>
      </c>
      <c r="G11" s="16" t="s">
        <v>56</v>
      </c>
      <c r="H11" s="16" t="s">
        <v>57</v>
      </c>
      <c r="I11" s="30" t="s">
        <v>22</v>
      </c>
      <c r="J11" s="31">
        <v>7818103.0</v>
      </c>
      <c r="K11" s="31">
        <v>3.114816788E9</v>
      </c>
      <c r="L11" s="34" t="s">
        <v>58</v>
      </c>
      <c r="M11" s="20" t="s">
        <v>59</v>
      </c>
      <c r="N11" s="20" t="s">
        <v>24</v>
      </c>
      <c r="O11" s="16" t="s">
        <v>51</v>
      </c>
      <c r="P11" s="1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 ht="18.75" customHeight="1">
      <c r="A12" s="8" t="s">
        <v>16</v>
      </c>
      <c r="B12" s="9"/>
      <c r="C12" s="16" t="s">
        <v>17</v>
      </c>
      <c r="D12" s="17">
        <v>46038.0</v>
      </c>
      <c r="E12" s="29" t="s">
        <v>46</v>
      </c>
      <c r="F12" s="16" t="s">
        <v>55</v>
      </c>
      <c r="G12" s="16" t="s">
        <v>56</v>
      </c>
      <c r="H12" s="16" t="s">
        <v>60</v>
      </c>
      <c r="I12" s="30" t="s">
        <v>22</v>
      </c>
      <c r="J12" s="31">
        <v>4.0384164E7</v>
      </c>
      <c r="K12" s="31">
        <v>3.114816798E9</v>
      </c>
      <c r="L12" s="34" t="s">
        <v>58</v>
      </c>
      <c r="M12" s="20" t="s">
        <v>61</v>
      </c>
      <c r="N12" s="20" t="s">
        <v>24</v>
      </c>
      <c r="O12" s="16" t="s">
        <v>51</v>
      </c>
      <c r="P12" s="1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 ht="18.75" customHeight="1">
      <c r="A13" s="8" t="s">
        <v>16</v>
      </c>
      <c r="B13" s="35">
        <v>300000.0</v>
      </c>
      <c r="C13" s="36" t="s">
        <v>62</v>
      </c>
      <c r="D13" s="37">
        <v>46038.0</v>
      </c>
      <c r="E13" s="38" t="s">
        <v>52</v>
      </c>
      <c r="F13" s="36" t="s">
        <v>55</v>
      </c>
      <c r="G13" s="36" t="s">
        <v>63</v>
      </c>
      <c r="H13" s="36" t="s">
        <v>64</v>
      </c>
      <c r="I13" s="39" t="s">
        <v>22</v>
      </c>
      <c r="J13" s="40">
        <v>2.3495297E7</v>
      </c>
      <c r="K13" s="40">
        <v>3.202058357E9</v>
      </c>
      <c r="L13" s="41"/>
      <c r="M13" s="42" t="s">
        <v>65</v>
      </c>
      <c r="N13" s="42" t="s">
        <v>24</v>
      </c>
      <c r="O13" s="36" t="s">
        <v>31</v>
      </c>
      <c r="P13" s="4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 ht="18.75" customHeight="1">
      <c r="A14" s="8" t="s">
        <v>16</v>
      </c>
      <c r="B14" s="15">
        <v>687500.0</v>
      </c>
      <c r="C14" s="16" t="s">
        <v>17</v>
      </c>
      <c r="D14" s="17">
        <v>46038.0</v>
      </c>
      <c r="E14" s="18" t="s">
        <v>52</v>
      </c>
      <c r="F14" s="43" t="s">
        <v>66</v>
      </c>
      <c r="G14" s="19" t="s">
        <v>67</v>
      </c>
      <c r="H14" s="19" t="s">
        <v>53</v>
      </c>
      <c r="I14" s="30" t="s">
        <v>22</v>
      </c>
      <c r="J14" s="21">
        <v>5.2183685E7</v>
      </c>
      <c r="K14" s="21">
        <v>3.212173371E9</v>
      </c>
      <c r="L14" s="19" t="s">
        <v>68</v>
      </c>
      <c r="M14" s="20" t="s">
        <v>69</v>
      </c>
      <c r="N14" s="20" t="s">
        <v>24</v>
      </c>
      <c r="O14" s="16" t="s">
        <v>31</v>
      </c>
      <c r="P14" s="1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 ht="16.5" customHeight="1">
      <c r="A15" s="8" t="s">
        <v>16</v>
      </c>
      <c r="B15" s="44"/>
      <c r="C15" s="45" t="s">
        <v>62</v>
      </c>
      <c r="D15" s="46">
        <v>46038.0</v>
      </c>
      <c r="E15" s="47" t="s">
        <v>70</v>
      </c>
      <c r="F15" s="48" t="s">
        <v>71</v>
      </c>
      <c r="G15" s="49" t="s">
        <v>72</v>
      </c>
      <c r="H15" s="45" t="s">
        <v>73</v>
      </c>
      <c r="I15" s="50" t="s">
        <v>22</v>
      </c>
      <c r="J15" s="51">
        <v>1.122918462E9</v>
      </c>
      <c r="K15" s="51">
        <v>3.224778228E9</v>
      </c>
      <c r="L15" s="52" t="s">
        <v>74</v>
      </c>
      <c r="M15" s="53" t="s">
        <v>30</v>
      </c>
      <c r="N15" s="54" t="s">
        <v>43</v>
      </c>
      <c r="O15" s="55" t="s">
        <v>31</v>
      </c>
      <c r="P15" s="5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 ht="18.75" customHeight="1">
      <c r="A16" s="8" t="s">
        <v>16</v>
      </c>
      <c r="B16" s="35">
        <v>550000.0</v>
      </c>
      <c r="C16" s="36" t="s">
        <v>62</v>
      </c>
      <c r="D16" s="37">
        <v>46038.0</v>
      </c>
      <c r="E16" s="57" t="s">
        <v>70</v>
      </c>
      <c r="F16" s="58" t="s">
        <v>55</v>
      </c>
      <c r="G16" s="59" t="s">
        <v>72</v>
      </c>
      <c r="H16" s="19" t="s">
        <v>75</v>
      </c>
      <c r="I16" s="39" t="s">
        <v>22</v>
      </c>
      <c r="J16" s="21">
        <v>4.0394789E7</v>
      </c>
      <c r="K16" s="21">
        <v>3.133773422E9</v>
      </c>
      <c r="L16" s="16"/>
      <c r="M16" s="60" t="s">
        <v>76</v>
      </c>
      <c r="N16" s="20" t="s">
        <v>24</v>
      </c>
      <c r="O16" s="16" t="s">
        <v>25</v>
      </c>
      <c r="P16" s="1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 ht="18.75" customHeight="1">
      <c r="A17" s="8" t="s">
        <v>16</v>
      </c>
      <c r="B17" s="61"/>
      <c r="C17" s="10"/>
      <c r="D17" s="11"/>
      <c r="E17" s="12"/>
      <c r="F17" s="10"/>
      <c r="G17" s="10"/>
      <c r="H17" s="10"/>
      <c r="I17" s="13"/>
      <c r="J17" s="14"/>
      <c r="K17" s="14"/>
      <c r="L17" s="10"/>
      <c r="M17" s="13"/>
      <c r="N17" s="10"/>
      <c r="O17" s="10"/>
      <c r="P17" s="1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 ht="18.75" customHeight="1">
      <c r="A18" s="8" t="s">
        <v>16</v>
      </c>
      <c r="B18" s="62"/>
      <c r="C18" s="16" t="s">
        <v>77</v>
      </c>
      <c r="D18" s="17">
        <v>46039.0</v>
      </c>
      <c r="E18" s="29" t="s">
        <v>78</v>
      </c>
      <c r="F18" s="16" t="s">
        <v>79</v>
      </c>
      <c r="G18" s="16" t="s">
        <v>63</v>
      </c>
      <c r="H18" s="16" t="s">
        <v>80</v>
      </c>
      <c r="I18" s="30" t="s">
        <v>22</v>
      </c>
      <c r="J18" s="31">
        <v>2.414401E7</v>
      </c>
      <c r="K18" s="31">
        <v>3.203125887E9</v>
      </c>
      <c r="L18" s="16"/>
      <c r="M18" s="20" t="s">
        <v>81</v>
      </c>
      <c r="N18" s="20" t="s">
        <v>24</v>
      </c>
      <c r="O18" s="16" t="s">
        <v>82</v>
      </c>
      <c r="P18" s="16"/>
      <c r="Q18" s="7"/>
      <c r="R18" s="7"/>
      <c r="S18" s="7"/>
      <c r="T18" s="7"/>
      <c r="U18" s="7"/>
      <c r="V18" s="7"/>
      <c r="W18" s="7">
        <v>46032.26256944444</v>
      </c>
      <c r="X18" s="7" t="s">
        <v>45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 ht="18.75" customHeight="1">
      <c r="A19" s="8" t="s">
        <v>16</v>
      </c>
      <c r="B19" s="2">
        <v>550000.0</v>
      </c>
      <c r="C19" s="16" t="s">
        <v>77</v>
      </c>
      <c r="D19" s="17">
        <v>46039.0</v>
      </c>
      <c r="E19" s="18" t="s">
        <v>83</v>
      </c>
      <c r="F19" s="16" t="s">
        <v>55</v>
      </c>
      <c r="G19" s="16" t="s">
        <v>72</v>
      </c>
      <c r="H19" s="19" t="s">
        <v>84</v>
      </c>
      <c r="I19" s="20" t="s">
        <v>22</v>
      </c>
      <c r="J19" s="21">
        <v>1.8220928E7</v>
      </c>
      <c r="K19" s="21">
        <v>3.160549401E9</v>
      </c>
      <c r="L19" s="19" t="s">
        <v>85</v>
      </c>
      <c r="M19" s="20" t="s">
        <v>86</v>
      </c>
      <c r="N19" s="20" t="s">
        <v>24</v>
      </c>
      <c r="O19" s="16" t="s">
        <v>25</v>
      </c>
      <c r="P19" s="19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 ht="18.75" customHeight="1">
      <c r="A20" s="8" t="s">
        <v>16</v>
      </c>
      <c r="B20" s="2">
        <v>550000.0</v>
      </c>
      <c r="C20" s="16" t="s">
        <v>77</v>
      </c>
      <c r="D20" s="17">
        <v>46039.0</v>
      </c>
      <c r="E20" s="18" t="s">
        <v>83</v>
      </c>
      <c r="F20" s="16" t="s">
        <v>55</v>
      </c>
      <c r="G20" s="16" t="s">
        <v>72</v>
      </c>
      <c r="H20" s="19" t="s">
        <v>87</v>
      </c>
      <c r="I20" s="20" t="s">
        <v>22</v>
      </c>
      <c r="J20" s="21">
        <v>2.3423635E7</v>
      </c>
      <c r="K20" s="21">
        <v>3.160549401E9</v>
      </c>
      <c r="L20" s="19" t="s">
        <v>85</v>
      </c>
      <c r="M20" s="20" t="s">
        <v>88</v>
      </c>
      <c r="N20" s="20" t="s">
        <v>24</v>
      </c>
      <c r="O20" s="16" t="s">
        <v>25</v>
      </c>
      <c r="P20" s="19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 ht="18.75" customHeight="1">
      <c r="A21" s="8" t="s">
        <v>16</v>
      </c>
      <c r="B21" s="9"/>
      <c r="C21" s="22" t="s">
        <v>77</v>
      </c>
      <c r="D21" s="23">
        <v>46039.0</v>
      </c>
      <c r="E21" s="24" t="s">
        <v>78</v>
      </c>
      <c r="F21" s="27" t="s">
        <v>89</v>
      </c>
      <c r="G21" s="22" t="s">
        <v>72</v>
      </c>
      <c r="H21" s="22" t="s">
        <v>90</v>
      </c>
      <c r="I21" s="25" t="s">
        <v>22</v>
      </c>
      <c r="J21" s="26">
        <v>4.043799E7</v>
      </c>
      <c r="K21" s="26">
        <v>3.142461856E9</v>
      </c>
      <c r="L21" s="22" t="s">
        <v>91</v>
      </c>
      <c r="M21" s="28" t="s">
        <v>43</v>
      </c>
      <c r="N21" s="28" t="s">
        <v>43</v>
      </c>
      <c r="O21" s="22" t="s">
        <v>92</v>
      </c>
      <c r="P21" s="22"/>
      <c r="Q21" s="7"/>
      <c r="R21" s="7"/>
      <c r="S21" s="7"/>
      <c r="T21" s="7"/>
      <c r="U21" s="7"/>
      <c r="V21" s="7"/>
      <c r="W21" s="7">
        <v>46032.26256944444</v>
      </c>
      <c r="X21" s="7" t="s">
        <v>45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 ht="18.75" customHeight="1">
      <c r="A22" s="8" t="s">
        <v>16</v>
      </c>
      <c r="B22" s="15">
        <v>300000.0</v>
      </c>
      <c r="C22" s="36" t="s">
        <v>77</v>
      </c>
      <c r="D22" s="37">
        <v>46039.0</v>
      </c>
      <c r="E22" s="63" t="s">
        <v>93</v>
      </c>
      <c r="F22" s="41" t="s">
        <v>55</v>
      </c>
      <c r="G22" s="64" t="s">
        <v>72</v>
      </c>
      <c r="H22" s="65" t="s">
        <v>94</v>
      </c>
      <c r="I22" s="20" t="s">
        <v>22</v>
      </c>
      <c r="J22" s="66">
        <v>1.12192191E9</v>
      </c>
      <c r="K22" s="66">
        <v>3.21355189E9</v>
      </c>
      <c r="L22" s="65" t="s">
        <v>95</v>
      </c>
      <c r="M22" s="67" t="s">
        <v>96</v>
      </c>
      <c r="N22" s="67" t="s">
        <v>24</v>
      </c>
      <c r="O22" s="65" t="s">
        <v>51</v>
      </c>
      <c r="P22" s="4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 ht="18.75" customHeight="1">
      <c r="A23" s="8" t="s">
        <v>16</v>
      </c>
      <c r="B23" s="9"/>
      <c r="C23" s="36" t="s">
        <v>77</v>
      </c>
      <c r="D23" s="37">
        <v>46039.0</v>
      </c>
      <c r="E23" s="63" t="s">
        <v>93</v>
      </c>
      <c r="F23" s="41" t="s">
        <v>55</v>
      </c>
      <c r="G23" s="36" t="s">
        <v>97</v>
      </c>
      <c r="H23" s="41" t="s">
        <v>98</v>
      </c>
      <c r="I23" s="68" t="s">
        <v>22</v>
      </c>
      <c r="J23" s="69">
        <v>1.122123778E9</v>
      </c>
      <c r="K23" s="69">
        <v>3.145493807E9</v>
      </c>
      <c r="L23" s="41"/>
      <c r="M23" s="67" t="s">
        <v>99</v>
      </c>
      <c r="N23" s="67" t="s">
        <v>24</v>
      </c>
      <c r="O23" s="41" t="s">
        <v>31</v>
      </c>
      <c r="P23" s="4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 ht="18.75" customHeight="1">
      <c r="A24" s="8" t="s">
        <v>16</v>
      </c>
      <c r="B24" s="9"/>
      <c r="C24" s="9"/>
      <c r="D24" s="9"/>
      <c r="E24" s="70"/>
      <c r="F24" s="9"/>
      <c r="G24" s="9"/>
      <c r="H24" s="9"/>
      <c r="I24" s="9"/>
      <c r="J24" s="71"/>
      <c r="K24" s="71"/>
      <c r="L24" s="9"/>
      <c r="M24" s="9"/>
      <c r="N24" s="9"/>
      <c r="O24" s="9"/>
      <c r="P24" s="9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</row>
    <row r="25" ht="16.5" customHeight="1">
      <c r="A25" s="8" t="s">
        <v>16</v>
      </c>
      <c r="B25" s="9"/>
      <c r="C25" s="16" t="s">
        <v>100</v>
      </c>
      <c r="D25" s="17">
        <v>46041.0</v>
      </c>
      <c r="E25" s="29" t="s">
        <v>18</v>
      </c>
      <c r="F25" s="16" t="s">
        <v>55</v>
      </c>
      <c r="G25" s="16" t="s">
        <v>48</v>
      </c>
      <c r="H25" s="16" t="s">
        <v>101</v>
      </c>
      <c r="I25" s="30" t="s">
        <v>22</v>
      </c>
      <c r="J25" s="31">
        <v>7.9373716E7</v>
      </c>
      <c r="K25" s="31">
        <v>3.132547744E9</v>
      </c>
      <c r="L25" s="16"/>
      <c r="M25" s="20" t="s">
        <v>102</v>
      </c>
      <c r="N25" s="20" t="s">
        <v>24</v>
      </c>
      <c r="O25" s="16" t="s">
        <v>31</v>
      </c>
      <c r="P25" s="1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 ht="18.75" customHeight="1">
      <c r="A26" s="8" t="s">
        <v>16</v>
      </c>
      <c r="B26" s="72"/>
      <c r="C26" s="16" t="s">
        <v>100</v>
      </c>
      <c r="D26" s="17">
        <v>46041.0</v>
      </c>
      <c r="E26" s="29" t="s">
        <v>18</v>
      </c>
      <c r="F26" s="16" t="s">
        <v>55</v>
      </c>
      <c r="G26" s="16" t="s">
        <v>48</v>
      </c>
      <c r="H26" s="73" t="s">
        <v>103</v>
      </c>
      <c r="I26" s="39" t="s">
        <v>22</v>
      </c>
      <c r="J26" s="74">
        <v>7.9933854E7</v>
      </c>
      <c r="K26" s="74">
        <v>3.223848212E9</v>
      </c>
      <c r="L26" s="41"/>
      <c r="M26" s="75" t="s">
        <v>104</v>
      </c>
      <c r="N26" s="75" t="s">
        <v>24</v>
      </c>
      <c r="O26" s="73" t="s">
        <v>31</v>
      </c>
      <c r="P26" s="76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</row>
    <row r="27" ht="18.75" customHeight="1">
      <c r="A27" s="8" t="s">
        <v>16</v>
      </c>
      <c r="B27" s="15">
        <v>300000.0</v>
      </c>
      <c r="C27" s="16" t="s">
        <v>100</v>
      </c>
      <c r="D27" s="17">
        <v>46041.0</v>
      </c>
      <c r="E27" s="18" t="s">
        <v>93</v>
      </c>
      <c r="F27" s="16" t="s">
        <v>55</v>
      </c>
      <c r="G27" s="59" t="s">
        <v>72</v>
      </c>
      <c r="H27" s="19" t="s">
        <v>105</v>
      </c>
      <c r="I27" s="20" t="s">
        <v>22</v>
      </c>
      <c r="J27" s="21">
        <v>5.17961E7</v>
      </c>
      <c r="K27" s="21">
        <v>3.105760306E9</v>
      </c>
      <c r="L27" s="19" t="s">
        <v>95</v>
      </c>
      <c r="M27" s="60" t="s">
        <v>106</v>
      </c>
      <c r="N27" s="75" t="s">
        <v>24</v>
      </c>
      <c r="O27" s="78" t="s">
        <v>31</v>
      </c>
      <c r="P27" s="16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  <row r="28" ht="18.75" customHeight="1">
      <c r="A28" s="8" t="s">
        <v>16</v>
      </c>
      <c r="B28" s="15">
        <v>130000.0</v>
      </c>
      <c r="C28" s="16" t="s">
        <v>100</v>
      </c>
      <c r="D28" s="17">
        <v>46041.0</v>
      </c>
      <c r="E28" s="18" t="s">
        <v>93</v>
      </c>
      <c r="F28" s="19" t="s">
        <v>107</v>
      </c>
      <c r="G28" s="43" t="s">
        <v>20</v>
      </c>
      <c r="H28" s="19" t="s">
        <v>105</v>
      </c>
      <c r="I28" s="20" t="s">
        <v>22</v>
      </c>
      <c r="J28" s="21">
        <v>5.17961E7</v>
      </c>
      <c r="K28" s="21">
        <v>3.105760306E9</v>
      </c>
      <c r="L28" s="19"/>
      <c r="M28" s="60" t="s">
        <v>108</v>
      </c>
      <c r="N28" s="75" t="s">
        <v>24</v>
      </c>
      <c r="O28" s="78" t="s">
        <v>31</v>
      </c>
      <c r="P28" s="1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</row>
    <row r="29" ht="18.75" customHeight="1">
      <c r="A29" s="8" t="s">
        <v>16</v>
      </c>
      <c r="B29" s="2">
        <v>550000.0</v>
      </c>
      <c r="C29" s="16" t="s">
        <v>100</v>
      </c>
      <c r="D29" s="17">
        <v>46041.0</v>
      </c>
      <c r="E29" s="18" t="s">
        <v>93</v>
      </c>
      <c r="F29" s="19" t="s">
        <v>109</v>
      </c>
      <c r="G29" s="59" t="s">
        <v>72</v>
      </c>
      <c r="H29" s="19" t="s">
        <v>110</v>
      </c>
      <c r="I29" s="20" t="s">
        <v>22</v>
      </c>
      <c r="J29" s="21">
        <v>4.0404571E7</v>
      </c>
      <c r="K29" s="21">
        <v>3.208087997E9</v>
      </c>
      <c r="L29" s="19" t="s">
        <v>111</v>
      </c>
      <c r="M29" s="60" t="s">
        <v>112</v>
      </c>
      <c r="N29" s="75" t="s">
        <v>24</v>
      </c>
      <c r="O29" s="79" t="s">
        <v>113</v>
      </c>
      <c r="P29" s="19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</row>
    <row r="30" ht="18.75" customHeight="1">
      <c r="A30" s="8" t="s">
        <v>16</v>
      </c>
      <c r="B30" s="2">
        <v>550000.0</v>
      </c>
      <c r="C30" s="16" t="s">
        <v>100</v>
      </c>
      <c r="D30" s="17">
        <v>46041.0</v>
      </c>
      <c r="E30" s="29" t="s">
        <v>46</v>
      </c>
      <c r="F30" s="19" t="s">
        <v>114</v>
      </c>
      <c r="G30" s="16" t="s">
        <v>72</v>
      </c>
      <c r="H30" s="19" t="s">
        <v>115</v>
      </c>
      <c r="I30" s="30" t="s">
        <v>22</v>
      </c>
      <c r="J30" s="21">
        <v>3.102144E7</v>
      </c>
      <c r="K30" s="21">
        <v>3.203425948E9</v>
      </c>
      <c r="L30" s="19" t="s">
        <v>111</v>
      </c>
      <c r="M30" s="20" t="s">
        <v>116</v>
      </c>
      <c r="N30" s="20" t="s">
        <v>24</v>
      </c>
      <c r="O30" s="19" t="s">
        <v>117</v>
      </c>
      <c r="P30" s="19" t="s">
        <v>118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</row>
    <row r="31" ht="18.75" customHeight="1">
      <c r="A31" s="8" t="s">
        <v>16</v>
      </c>
      <c r="B31" s="9"/>
      <c r="C31" s="16" t="s">
        <v>100</v>
      </c>
      <c r="D31" s="17">
        <v>46041.0</v>
      </c>
      <c r="E31" s="29" t="s">
        <v>46</v>
      </c>
      <c r="F31" s="19" t="s">
        <v>55</v>
      </c>
      <c r="G31" s="19" t="s">
        <v>63</v>
      </c>
      <c r="H31" s="19" t="s">
        <v>119</v>
      </c>
      <c r="I31" s="20" t="s">
        <v>22</v>
      </c>
      <c r="J31" s="21">
        <v>4457216.0</v>
      </c>
      <c r="K31" s="21">
        <v>3.118309235E9</v>
      </c>
      <c r="L31" s="16"/>
      <c r="M31" s="20" t="s">
        <v>120</v>
      </c>
      <c r="N31" s="20" t="s">
        <v>24</v>
      </c>
      <c r="O31" s="19" t="s">
        <v>31</v>
      </c>
      <c r="P31" s="16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</row>
    <row r="32" ht="18.75" customHeight="1">
      <c r="A32" s="8" t="s">
        <v>16</v>
      </c>
      <c r="B32" s="9"/>
      <c r="C32" s="22" t="s">
        <v>100</v>
      </c>
      <c r="D32" s="23">
        <v>46041.0</v>
      </c>
      <c r="E32" s="80" t="s">
        <v>46</v>
      </c>
      <c r="F32" s="22" t="s">
        <v>27</v>
      </c>
      <c r="G32" s="22" t="s">
        <v>20</v>
      </c>
      <c r="H32" s="27" t="s">
        <v>121</v>
      </c>
      <c r="I32" s="28" t="s">
        <v>22</v>
      </c>
      <c r="J32" s="81">
        <v>1.120865536E9</v>
      </c>
      <c r="K32" s="81">
        <v>3.102445319E9</v>
      </c>
      <c r="L32" s="22"/>
      <c r="M32" s="28" t="s">
        <v>43</v>
      </c>
      <c r="N32" s="28" t="s">
        <v>43</v>
      </c>
      <c r="O32" s="27" t="s">
        <v>122</v>
      </c>
      <c r="P32" s="22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</row>
    <row r="33" ht="18.75" customHeight="1">
      <c r="A33" s="8" t="s">
        <v>16</v>
      </c>
      <c r="B33" s="2">
        <v>150000.0</v>
      </c>
      <c r="C33" s="16" t="s">
        <v>100</v>
      </c>
      <c r="D33" s="17">
        <v>46041.0</v>
      </c>
      <c r="E33" s="18" t="s">
        <v>52</v>
      </c>
      <c r="F33" s="16" t="s">
        <v>27</v>
      </c>
      <c r="G33" s="16" t="s">
        <v>20</v>
      </c>
      <c r="H33" s="16" t="s">
        <v>123</v>
      </c>
      <c r="I33" s="30" t="s">
        <v>22</v>
      </c>
      <c r="J33" s="31">
        <v>4.0027131E7</v>
      </c>
      <c r="K33" s="31">
        <v>3.204080587E9</v>
      </c>
      <c r="L33" s="16"/>
      <c r="M33" s="20" t="s">
        <v>124</v>
      </c>
      <c r="N33" s="20" t="s">
        <v>24</v>
      </c>
      <c r="O33" s="16" t="s">
        <v>25</v>
      </c>
      <c r="P33" s="16"/>
      <c r="Q33" s="7"/>
      <c r="R33" s="7"/>
      <c r="S33" s="7"/>
      <c r="T33" s="7"/>
      <c r="U33" s="7"/>
      <c r="V33" s="7"/>
      <c r="W33" s="7">
        <v>46029.274675925924</v>
      </c>
      <c r="X33" s="7" t="s">
        <v>125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</row>
    <row r="34" ht="18.75" customHeight="1">
      <c r="A34" s="8" t="s">
        <v>16</v>
      </c>
      <c r="B34" s="33"/>
      <c r="C34" s="22" t="s">
        <v>100</v>
      </c>
      <c r="D34" s="23">
        <v>46041.0</v>
      </c>
      <c r="E34" s="24" t="s">
        <v>126</v>
      </c>
      <c r="F34" s="22" t="s">
        <v>27</v>
      </c>
      <c r="G34" s="22" t="s">
        <v>127</v>
      </c>
      <c r="H34" s="22" t="s">
        <v>128</v>
      </c>
      <c r="I34" s="25" t="s">
        <v>22</v>
      </c>
      <c r="J34" s="26">
        <v>4.0377962E7</v>
      </c>
      <c r="K34" s="26">
        <v>3.112276897E9</v>
      </c>
      <c r="L34" s="27" t="s">
        <v>129</v>
      </c>
      <c r="M34" s="28" t="s">
        <v>43</v>
      </c>
      <c r="N34" s="28" t="s">
        <v>43</v>
      </c>
      <c r="O34" s="22" t="s">
        <v>44</v>
      </c>
      <c r="P34" s="22"/>
      <c r="Q34" s="82"/>
      <c r="R34" s="82"/>
      <c r="S34" s="82"/>
      <c r="T34" s="82"/>
      <c r="U34" s="82"/>
      <c r="V34" s="82"/>
      <c r="W34" s="82">
        <v>46030.61454861111</v>
      </c>
      <c r="X34" s="82" t="s">
        <v>45</v>
      </c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</row>
    <row r="35" ht="16.5" customHeight="1">
      <c r="A35" s="8" t="s">
        <v>16</v>
      </c>
      <c r="B35" s="9"/>
      <c r="C35" s="16" t="s">
        <v>100</v>
      </c>
      <c r="D35" s="17">
        <v>46041.0</v>
      </c>
      <c r="E35" s="18" t="s">
        <v>130</v>
      </c>
      <c r="F35" s="19" t="s">
        <v>55</v>
      </c>
      <c r="G35" s="19" t="s">
        <v>48</v>
      </c>
      <c r="H35" s="19" t="s">
        <v>131</v>
      </c>
      <c r="I35" s="20" t="s">
        <v>22</v>
      </c>
      <c r="J35" s="21">
        <v>8.6041884E7</v>
      </c>
      <c r="K35" s="21">
        <v>3.153278802E9</v>
      </c>
      <c r="L35" s="19"/>
      <c r="M35" s="20" t="s">
        <v>132</v>
      </c>
      <c r="N35" s="20" t="s">
        <v>24</v>
      </c>
      <c r="O35" s="19" t="s">
        <v>113</v>
      </c>
      <c r="P35" s="16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</row>
    <row r="36" ht="16.5" customHeight="1">
      <c r="A36" s="8" t="s">
        <v>16</v>
      </c>
      <c r="B36" s="2">
        <v>150000.0</v>
      </c>
      <c r="C36" s="16" t="s">
        <v>100</v>
      </c>
      <c r="D36" s="17">
        <v>46041.0</v>
      </c>
      <c r="E36" s="29" t="s">
        <v>133</v>
      </c>
      <c r="F36" s="16" t="s">
        <v>27</v>
      </c>
      <c r="G36" s="16" t="s">
        <v>20</v>
      </c>
      <c r="H36" s="16" t="s">
        <v>35</v>
      </c>
      <c r="I36" s="30" t="s">
        <v>22</v>
      </c>
      <c r="J36" s="31">
        <v>1.7339894E7</v>
      </c>
      <c r="K36" s="31">
        <v>3.138922888E9</v>
      </c>
      <c r="L36" s="19"/>
      <c r="M36" s="20" t="s">
        <v>134</v>
      </c>
      <c r="N36" s="20" t="s">
        <v>24</v>
      </c>
      <c r="O36" s="16" t="s">
        <v>25</v>
      </c>
      <c r="P36" s="1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</row>
    <row r="37" ht="18.75" customHeight="1">
      <c r="A37" s="8" t="s">
        <v>16</v>
      </c>
      <c r="B37" s="15">
        <v>100000.0</v>
      </c>
      <c r="C37" s="16" t="s">
        <v>100</v>
      </c>
      <c r="D37" s="17">
        <v>46041.0</v>
      </c>
      <c r="E37" s="18" t="s">
        <v>70</v>
      </c>
      <c r="F37" s="19" t="s">
        <v>135</v>
      </c>
      <c r="G37" s="16" t="s">
        <v>20</v>
      </c>
      <c r="H37" s="19" t="s">
        <v>136</v>
      </c>
      <c r="I37" s="30" t="s">
        <v>22</v>
      </c>
      <c r="J37" s="21">
        <v>4.2546081E7</v>
      </c>
      <c r="K37" s="21">
        <v>3.21225942E9</v>
      </c>
      <c r="L37" s="16"/>
      <c r="M37" s="20" t="s">
        <v>137</v>
      </c>
      <c r="N37" s="20" t="s">
        <v>24</v>
      </c>
      <c r="O37" s="19" t="s">
        <v>113</v>
      </c>
      <c r="P37" s="16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</row>
    <row r="38" ht="18.75" customHeight="1">
      <c r="A38" s="8" t="s">
        <v>16</v>
      </c>
      <c r="B38" s="15">
        <v>260000.0</v>
      </c>
      <c r="C38" s="16" t="s">
        <v>100</v>
      </c>
      <c r="D38" s="17">
        <v>46041.0</v>
      </c>
      <c r="E38" s="18" t="s">
        <v>70</v>
      </c>
      <c r="F38" s="19" t="s">
        <v>138</v>
      </c>
      <c r="G38" s="19" t="s">
        <v>127</v>
      </c>
      <c r="H38" s="19" t="s">
        <v>139</v>
      </c>
      <c r="I38" s="20" t="s">
        <v>22</v>
      </c>
      <c r="J38" s="21">
        <v>8.6053034E7</v>
      </c>
      <c r="K38" s="21">
        <v>3.118993276E9</v>
      </c>
      <c r="L38" s="16"/>
      <c r="M38" s="20" t="s">
        <v>140</v>
      </c>
      <c r="N38" s="20" t="s">
        <v>24</v>
      </c>
      <c r="O38" s="19" t="s">
        <v>31</v>
      </c>
      <c r="P38" s="16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</row>
    <row r="39" ht="18.75" customHeight="1">
      <c r="A39" s="8" t="s">
        <v>16</v>
      </c>
      <c r="B39" s="9"/>
      <c r="C39" s="10"/>
      <c r="D39" s="11"/>
      <c r="E39" s="12"/>
      <c r="F39" s="83"/>
      <c r="G39" s="10"/>
      <c r="H39" s="10"/>
      <c r="I39" s="13"/>
      <c r="J39" s="14"/>
      <c r="K39" s="14"/>
      <c r="L39" s="10"/>
      <c r="M39" s="13"/>
      <c r="N39" s="10"/>
      <c r="O39" s="10"/>
      <c r="P39" s="10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</row>
    <row r="40" ht="18.75" customHeight="1">
      <c r="A40" s="8" t="s">
        <v>16</v>
      </c>
      <c r="B40" s="9"/>
      <c r="C40" s="22" t="s">
        <v>141</v>
      </c>
      <c r="D40" s="23">
        <v>46042.0</v>
      </c>
      <c r="E40" s="24" t="s">
        <v>18</v>
      </c>
      <c r="F40" s="27" t="s">
        <v>142</v>
      </c>
      <c r="G40" s="27" t="s">
        <v>127</v>
      </c>
      <c r="H40" s="84" t="s">
        <v>103</v>
      </c>
      <c r="I40" s="50" t="s">
        <v>22</v>
      </c>
      <c r="J40" s="85">
        <v>7.9933854E7</v>
      </c>
      <c r="K40" s="85">
        <v>3.223848212E9</v>
      </c>
      <c r="L40" s="86" t="s">
        <v>143</v>
      </c>
      <c r="M40" s="28" t="s">
        <v>43</v>
      </c>
      <c r="N40" s="28" t="s">
        <v>43</v>
      </c>
      <c r="O40" s="84" t="s">
        <v>31</v>
      </c>
      <c r="P40" s="8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</row>
    <row r="41" ht="18.75" customHeight="1">
      <c r="A41" s="8" t="s">
        <v>16</v>
      </c>
      <c r="B41" s="9"/>
      <c r="C41" s="22" t="s">
        <v>141</v>
      </c>
      <c r="D41" s="23">
        <v>46042.0</v>
      </c>
      <c r="E41" s="80" t="s">
        <v>144</v>
      </c>
      <c r="F41" s="22" t="s">
        <v>55</v>
      </c>
      <c r="G41" s="27" t="s">
        <v>56</v>
      </c>
      <c r="H41" s="27" t="s">
        <v>84</v>
      </c>
      <c r="I41" s="28" t="s">
        <v>22</v>
      </c>
      <c r="J41" s="81">
        <v>1.8220928E7</v>
      </c>
      <c r="K41" s="81">
        <v>3.160549401E9</v>
      </c>
      <c r="L41" s="27" t="s">
        <v>145</v>
      </c>
      <c r="M41" s="28" t="s">
        <v>43</v>
      </c>
      <c r="N41" s="28" t="s">
        <v>43</v>
      </c>
      <c r="O41" s="22" t="s">
        <v>25</v>
      </c>
      <c r="P41" s="2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</row>
    <row r="42" ht="18.75" customHeight="1">
      <c r="A42" s="8" t="s">
        <v>16</v>
      </c>
      <c r="B42" s="9"/>
      <c r="C42" s="22" t="s">
        <v>141</v>
      </c>
      <c r="D42" s="23">
        <v>46042.0</v>
      </c>
      <c r="E42" s="80" t="s">
        <v>144</v>
      </c>
      <c r="F42" s="22" t="s">
        <v>55</v>
      </c>
      <c r="G42" s="27" t="s">
        <v>56</v>
      </c>
      <c r="H42" s="27" t="s">
        <v>87</v>
      </c>
      <c r="I42" s="28" t="s">
        <v>22</v>
      </c>
      <c r="J42" s="81">
        <v>2.3423635E7</v>
      </c>
      <c r="K42" s="81">
        <v>3.160549401E9</v>
      </c>
      <c r="L42" s="27" t="s">
        <v>145</v>
      </c>
      <c r="M42" s="28" t="s">
        <v>43</v>
      </c>
      <c r="N42" s="28" t="s">
        <v>43</v>
      </c>
      <c r="O42" s="22" t="s">
        <v>25</v>
      </c>
      <c r="P42" s="2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</row>
    <row r="43" ht="18.75" customHeight="1">
      <c r="A43" s="8" t="s">
        <v>16</v>
      </c>
      <c r="B43" s="9"/>
      <c r="C43" s="19" t="s">
        <v>141</v>
      </c>
      <c r="D43" s="88">
        <v>46042.0</v>
      </c>
      <c r="E43" s="18" t="s">
        <v>93</v>
      </c>
      <c r="F43" s="16" t="s">
        <v>146</v>
      </c>
      <c r="G43" s="16" t="s">
        <v>48</v>
      </c>
      <c r="H43" s="16" t="s">
        <v>147</v>
      </c>
      <c r="I43" s="30" t="s">
        <v>22</v>
      </c>
      <c r="J43" s="31">
        <v>8.6066016E7</v>
      </c>
      <c r="K43" s="31">
        <v>3.137041903E9</v>
      </c>
      <c r="L43" s="16" t="s">
        <v>58</v>
      </c>
      <c r="M43" s="20" t="s">
        <v>148</v>
      </c>
      <c r="N43" s="20" t="s">
        <v>24</v>
      </c>
      <c r="O43" s="16" t="s">
        <v>31</v>
      </c>
      <c r="P43" s="1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</row>
    <row r="44" ht="18.75" customHeight="1">
      <c r="A44" s="8" t="s">
        <v>16</v>
      </c>
      <c r="B44" s="89">
        <v>550000.0</v>
      </c>
      <c r="C44" s="19" t="s">
        <v>141</v>
      </c>
      <c r="D44" s="88">
        <v>46042.0</v>
      </c>
      <c r="E44" s="29" t="s">
        <v>46</v>
      </c>
      <c r="F44" s="16" t="s">
        <v>55</v>
      </c>
      <c r="G44" s="19" t="s">
        <v>72</v>
      </c>
      <c r="H44" s="19" t="s">
        <v>136</v>
      </c>
      <c r="I44" s="30" t="s">
        <v>22</v>
      </c>
      <c r="J44" s="21">
        <v>4.2546081E7</v>
      </c>
      <c r="K44" s="21">
        <v>3.21225942E9</v>
      </c>
      <c r="L44" s="16"/>
      <c r="M44" s="20" t="s">
        <v>149</v>
      </c>
      <c r="N44" s="20" t="s">
        <v>24</v>
      </c>
      <c r="O44" s="19" t="s">
        <v>113</v>
      </c>
      <c r="P44" s="16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</row>
    <row r="45" ht="18.75" customHeight="1">
      <c r="A45" s="8" t="s">
        <v>16</v>
      </c>
      <c r="B45" s="89">
        <v>550000.0</v>
      </c>
      <c r="C45" s="19" t="s">
        <v>141</v>
      </c>
      <c r="D45" s="88">
        <v>46042.0</v>
      </c>
      <c r="E45" s="29" t="s">
        <v>46</v>
      </c>
      <c r="F45" s="16" t="s">
        <v>55</v>
      </c>
      <c r="G45" s="19" t="s">
        <v>72</v>
      </c>
      <c r="H45" s="16" t="s">
        <v>123</v>
      </c>
      <c r="I45" s="30" t="s">
        <v>22</v>
      </c>
      <c r="J45" s="31">
        <v>4.0027131E7</v>
      </c>
      <c r="K45" s="31">
        <v>3.204080587E9</v>
      </c>
      <c r="L45" s="16"/>
      <c r="M45" s="20" t="s">
        <v>150</v>
      </c>
      <c r="N45" s="20" t="s">
        <v>24</v>
      </c>
      <c r="O45" s="16" t="s">
        <v>25</v>
      </c>
      <c r="P45" s="16"/>
      <c r="Q45" s="7"/>
      <c r="R45" s="7"/>
      <c r="S45" s="7"/>
      <c r="T45" s="7"/>
      <c r="U45" s="7"/>
      <c r="V45" s="7"/>
      <c r="W45" s="7">
        <v>46029.274675925924</v>
      </c>
      <c r="X45" s="7" t="s">
        <v>125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</row>
    <row r="46" ht="18.75" customHeight="1">
      <c r="A46" s="8" t="s">
        <v>16</v>
      </c>
      <c r="B46" s="33"/>
      <c r="C46" s="22" t="s">
        <v>141</v>
      </c>
      <c r="D46" s="23">
        <v>46042.0</v>
      </c>
      <c r="E46" s="24" t="s">
        <v>46</v>
      </c>
      <c r="F46" s="22" t="s">
        <v>79</v>
      </c>
      <c r="G46" s="22" t="s">
        <v>72</v>
      </c>
      <c r="H46" s="22" t="s">
        <v>151</v>
      </c>
      <c r="I46" s="25" t="s">
        <v>22</v>
      </c>
      <c r="J46" s="26">
        <v>458579.0</v>
      </c>
      <c r="K46" s="26">
        <v>3.20218208E9</v>
      </c>
      <c r="L46" s="27" t="s">
        <v>152</v>
      </c>
      <c r="M46" s="28" t="s">
        <v>43</v>
      </c>
      <c r="N46" s="28" t="s">
        <v>43</v>
      </c>
      <c r="O46" s="22" t="s">
        <v>92</v>
      </c>
      <c r="P46" s="22"/>
      <c r="Q46" s="7"/>
      <c r="R46" s="7"/>
      <c r="S46" s="7"/>
      <c r="T46" s="7"/>
      <c r="U46" s="7"/>
      <c r="V46" s="7"/>
      <c r="W46" s="7">
        <v>46037.25059027778</v>
      </c>
      <c r="X46" s="7" t="s">
        <v>45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</row>
    <row r="47" ht="18.75" customHeight="1">
      <c r="A47" s="8" t="s">
        <v>16</v>
      </c>
      <c r="B47" s="15">
        <v>260000.0</v>
      </c>
      <c r="C47" s="16" t="s">
        <v>141</v>
      </c>
      <c r="D47" s="17">
        <v>46042.0</v>
      </c>
      <c r="E47" s="90" t="s">
        <v>133</v>
      </c>
      <c r="F47" s="58" t="s">
        <v>153</v>
      </c>
      <c r="G47" s="19" t="s">
        <v>20</v>
      </c>
      <c r="H47" s="19" t="s">
        <v>154</v>
      </c>
      <c r="I47" s="75" t="s">
        <v>22</v>
      </c>
      <c r="J47" s="21">
        <v>8.608541E7</v>
      </c>
      <c r="K47" s="21">
        <v>3.214312836E9</v>
      </c>
      <c r="L47" s="16"/>
      <c r="M47" s="60" t="s">
        <v>155</v>
      </c>
      <c r="N47" s="20" t="s">
        <v>24</v>
      </c>
      <c r="O47" s="19" t="s">
        <v>31</v>
      </c>
      <c r="P47" s="1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</row>
    <row r="48" ht="18.75" customHeight="1">
      <c r="A48" s="8" t="s">
        <v>16</v>
      </c>
      <c r="B48" s="89">
        <v>550000.0</v>
      </c>
      <c r="C48" s="36" t="s">
        <v>141</v>
      </c>
      <c r="D48" s="37">
        <v>46042.0</v>
      </c>
      <c r="E48" s="57" t="s">
        <v>133</v>
      </c>
      <c r="F48" s="73" t="s">
        <v>79</v>
      </c>
      <c r="G48" s="73" t="s">
        <v>72</v>
      </c>
      <c r="H48" s="73" t="s">
        <v>156</v>
      </c>
      <c r="I48" s="39" t="s">
        <v>22</v>
      </c>
      <c r="J48" s="74">
        <v>366850.0</v>
      </c>
      <c r="K48" s="74">
        <v>3.005717556E9</v>
      </c>
      <c r="L48" s="91" t="s">
        <v>157</v>
      </c>
      <c r="M48" s="67" t="s">
        <v>158</v>
      </c>
      <c r="N48" s="20" t="s">
        <v>24</v>
      </c>
      <c r="O48" s="36" t="s">
        <v>31</v>
      </c>
      <c r="P48" s="41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</row>
    <row r="49" ht="18.75" customHeight="1">
      <c r="A49" s="8" t="s">
        <v>16</v>
      </c>
      <c r="B49" s="72"/>
      <c r="C49" s="36" t="s">
        <v>141</v>
      </c>
      <c r="D49" s="37">
        <v>46042.0</v>
      </c>
      <c r="E49" s="57" t="s">
        <v>133</v>
      </c>
      <c r="F49" s="73" t="s">
        <v>79</v>
      </c>
      <c r="G49" s="73" t="s">
        <v>159</v>
      </c>
      <c r="H49" s="73" t="s">
        <v>160</v>
      </c>
      <c r="I49" s="39" t="s">
        <v>22</v>
      </c>
      <c r="J49" s="74">
        <v>2.1228048E7</v>
      </c>
      <c r="K49" s="74">
        <v>3.005717556E9</v>
      </c>
      <c r="L49" s="41"/>
      <c r="M49" s="67" t="s">
        <v>158</v>
      </c>
      <c r="N49" s="20" t="s">
        <v>24</v>
      </c>
      <c r="O49" s="36" t="s">
        <v>31</v>
      </c>
      <c r="P49" s="41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</row>
    <row r="50" ht="18.75" customHeight="1">
      <c r="A50" s="8" t="s">
        <v>16</v>
      </c>
      <c r="B50" s="9"/>
      <c r="C50" s="16" t="s">
        <v>141</v>
      </c>
      <c r="D50" s="17">
        <v>46042.0</v>
      </c>
      <c r="E50" s="57" t="s">
        <v>70</v>
      </c>
      <c r="F50" s="58" t="s">
        <v>55</v>
      </c>
      <c r="G50" s="19" t="s">
        <v>97</v>
      </c>
      <c r="H50" s="19" t="s">
        <v>75</v>
      </c>
      <c r="I50" s="39" t="s">
        <v>22</v>
      </c>
      <c r="J50" s="21">
        <v>4.0394789E7</v>
      </c>
      <c r="K50" s="21">
        <v>3.133773422E9</v>
      </c>
      <c r="L50" s="16"/>
      <c r="M50" s="60" t="s">
        <v>161</v>
      </c>
      <c r="N50" s="20" t="s">
        <v>24</v>
      </c>
      <c r="O50" s="16" t="s">
        <v>25</v>
      </c>
      <c r="P50" s="16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</row>
    <row r="51" ht="18.75" customHeight="1">
      <c r="A51" s="8" t="s">
        <v>16</v>
      </c>
      <c r="B51" s="92">
        <v>210000.0</v>
      </c>
      <c r="C51" s="36" t="s">
        <v>141</v>
      </c>
      <c r="D51" s="37">
        <v>46042.0</v>
      </c>
      <c r="E51" s="38" t="s">
        <v>70</v>
      </c>
      <c r="F51" s="19" t="s">
        <v>162</v>
      </c>
      <c r="G51" s="64" t="s">
        <v>20</v>
      </c>
      <c r="H51" s="64" t="s">
        <v>163</v>
      </c>
      <c r="I51" s="75" t="s">
        <v>22</v>
      </c>
      <c r="J51" s="93">
        <v>1.5253597E7</v>
      </c>
      <c r="K51" s="93">
        <v>3.22275381E9</v>
      </c>
      <c r="L51" s="41"/>
      <c r="M51" s="94" t="s">
        <v>164</v>
      </c>
      <c r="N51" s="20" t="s">
        <v>24</v>
      </c>
      <c r="O51" s="64" t="s">
        <v>92</v>
      </c>
      <c r="P51" s="41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</row>
    <row r="52" ht="18.75" customHeight="1">
      <c r="A52" s="8" t="s">
        <v>16</v>
      </c>
      <c r="B52" s="92">
        <v>70000.0</v>
      </c>
      <c r="C52" s="36" t="s">
        <v>141</v>
      </c>
      <c r="D52" s="37">
        <v>46042.0</v>
      </c>
      <c r="E52" s="38" t="s">
        <v>70</v>
      </c>
      <c r="F52" s="19" t="s">
        <v>165</v>
      </c>
      <c r="G52" s="64" t="s">
        <v>20</v>
      </c>
      <c r="H52" s="64" t="s">
        <v>163</v>
      </c>
      <c r="I52" s="75" t="s">
        <v>22</v>
      </c>
      <c r="J52" s="93">
        <v>1.5253597E7</v>
      </c>
      <c r="K52" s="93">
        <v>3.22275381E9</v>
      </c>
      <c r="L52" s="41"/>
      <c r="M52" s="94"/>
      <c r="N52" s="20" t="s">
        <v>24</v>
      </c>
      <c r="O52" s="64" t="s">
        <v>92</v>
      </c>
      <c r="P52" s="41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</row>
    <row r="53" ht="18.75" customHeight="1">
      <c r="A53" s="8" t="s">
        <v>16</v>
      </c>
      <c r="B53" s="89">
        <v>550000.0</v>
      </c>
      <c r="C53" s="36" t="s">
        <v>141</v>
      </c>
      <c r="D53" s="37">
        <v>46042.0</v>
      </c>
      <c r="E53" s="38" t="s">
        <v>70</v>
      </c>
      <c r="F53" s="36" t="s">
        <v>79</v>
      </c>
      <c r="G53" s="73" t="s">
        <v>72</v>
      </c>
      <c r="H53" s="36" t="s">
        <v>166</v>
      </c>
      <c r="I53" s="39" t="s">
        <v>22</v>
      </c>
      <c r="J53" s="40">
        <v>7.974802E7</v>
      </c>
      <c r="K53" s="40">
        <v>3.228510484E9</v>
      </c>
      <c r="L53" s="41"/>
      <c r="M53" s="42" t="s">
        <v>167</v>
      </c>
      <c r="N53" s="20" t="s">
        <v>24</v>
      </c>
      <c r="O53" s="36" t="s">
        <v>25</v>
      </c>
      <c r="P53" s="41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77"/>
      <c r="CU53" s="77"/>
      <c r="CV53" s="77"/>
      <c r="CW53" s="77"/>
      <c r="CX53" s="77"/>
      <c r="CY53" s="77"/>
    </row>
    <row r="54" ht="18.75" customHeight="1">
      <c r="A54" s="8" t="s">
        <v>16</v>
      </c>
      <c r="B54" s="72"/>
      <c r="C54" s="36" t="s">
        <v>141</v>
      </c>
      <c r="D54" s="37">
        <v>46042.0</v>
      </c>
      <c r="E54" s="38" t="s">
        <v>70</v>
      </c>
      <c r="F54" s="36" t="s">
        <v>168</v>
      </c>
      <c r="G54" s="73" t="s">
        <v>63</v>
      </c>
      <c r="H54" s="36" t="s">
        <v>169</v>
      </c>
      <c r="I54" s="39" t="s">
        <v>22</v>
      </c>
      <c r="J54" s="40">
        <v>1.032440145E9</v>
      </c>
      <c r="K54" s="40">
        <v>3.228510484E9</v>
      </c>
      <c r="L54" s="91" t="s">
        <v>170</v>
      </c>
      <c r="M54" s="42" t="s">
        <v>171</v>
      </c>
      <c r="N54" s="20" t="s">
        <v>24</v>
      </c>
      <c r="O54" s="36" t="s">
        <v>25</v>
      </c>
      <c r="P54" s="41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77"/>
      <c r="CX54" s="77"/>
      <c r="CY54" s="77"/>
    </row>
    <row r="55" ht="18.75" customHeight="1">
      <c r="A55" s="8" t="s">
        <v>16</v>
      </c>
      <c r="B55" s="92">
        <v>70000.0</v>
      </c>
      <c r="C55" s="36" t="s">
        <v>141</v>
      </c>
      <c r="D55" s="37">
        <v>46042.0</v>
      </c>
      <c r="E55" s="38" t="s">
        <v>70</v>
      </c>
      <c r="F55" s="64" t="s">
        <v>172</v>
      </c>
      <c r="G55" s="64" t="s">
        <v>20</v>
      </c>
      <c r="H55" s="36" t="s">
        <v>169</v>
      </c>
      <c r="I55" s="39" t="s">
        <v>22</v>
      </c>
      <c r="J55" s="40">
        <v>1.032440145E9</v>
      </c>
      <c r="K55" s="40">
        <v>3.228510484E9</v>
      </c>
      <c r="L55" s="91" t="s">
        <v>170</v>
      </c>
      <c r="M55" s="42" t="s">
        <v>173</v>
      </c>
      <c r="N55" s="20" t="s">
        <v>24</v>
      </c>
      <c r="O55" s="36" t="s">
        <v>25</v>
      </c>
      <c r="P55" s="41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</row>
    <row r="56" ht="18.75" customHeight="1">
      <c r="A56" s="8" t="s">
        <v>16</v>
      </c>
      <c r="B56" s="9"/>
      <c r="C56" s="16" t="s">
        <v>141</v>
      </c>
      <c r="D56" s="17">
        <v>46042.0</v>
      </c>
      <c r="E56" s="18" t="s">
        <v>174</v>
      </c>
      <c r="F56" s="16" t="s">
        <v>55</v>
      </c>
      <c r="G56" s="16" t="s">
        <v>63</v>
      </c>
      <c r="H56" s="16" t="s">
        <v>175</v>
      </c>
      <c r="I56" s="30" t="s">
        <v>22</v>
      </c>
      <c r="J56" s="31">
        <v>4.0362231E7</v>
      </c>
      <c r="K56" s="31">
        <v>3.134901744E9</v>
      </c>
      <c r="L56" s="16"/>
      <c r="M56" s="20" t="s">
        <v>176</v>
      </c>
      <c r="N56" s="20" t="s">
        <v>24</v>
      </c>
      <c r="O56" s="16" t="s">
        <v>113</v>
      </c>
      <c r="P56" s="16"/>
      <c r="Q56" s="7"/>
      <c r="R56" s="7"/>
      <c r="S56" s="7"/>
      <c r="T56" s="7"/>
      <c r="U56" s="7"/>
      <c r="V56" s="7"/>
      <c r="W56" s="7">
        <v>46035.48979166667</v>
      </c>
      <c r="X56" s="7" t="s">
        <v>45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</row>
    <row r="57" ht="18.75" customHeight="1">
      <c r="A57" s="8" t="s">
        <v>16</v>
      </c>
      <c r="B57" s="9"/>
      <c r="C57" s="10"/>
      <c r="D57" s="11"/>
      <c r="E57" s="95"/>
      <c r="F57" s="96"/>
      <c r="G57" s="97"/>
      <c r="H57" s="98"/>
      <c r="I57" s="99"/>
      <c r="J57" s="100"/>
      <c r="K57" s="100"/>
      <c r="L57" s="101"/>
      <c r="M57" s="102"/>
      <c r="N57" s="103"/>
      <c r="O57" s="98"/>
      <c r="P57" s="10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</row>
    <row r="58" ht="18.75" customHeight="1">
      <c r="A58" s="8" t="s">
        <v>16</v>
      </c>
      <c r="B58" s="92">
        <v>200000.0</v>
      </c>
      <c r="C58" s="16" t="s">
        <v>177</v>
      </c>
      <c r="D58" s="17">
        <v>46043.0</v>
      </c>
      <c r="E58" s="104" t="s">
        <v>83</v>
      </c>
      <c r="F58" s="36" t="s">
        <v>55</v>
      </c>
      <c r="G58" s="64" t="s">
        <v>97</v>
      </c>
      <c r="H58" s="64" t="s">
        <v>178</v>
      </c>
      <c r="I58" s="75" t="s">
        <v>22</v>
      </c>
      <c r="J58" s="93">
        <v>1.057015158E9</v>
      </c>
      <c r="K58" s="93">
        <v>3.124092463E9</v>
      </c>
      <c r="L58" s="41"/>
      <c r="M58" s="94" t="s">
        <v>179</v>
      </c>
      <c r="N58" s="42" t="s">
        <v>24</v>
      </c>
      <c r="O58" s="64" t="s">
        <v>51</v>
      </c>
      <c r="P58" s="4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</row>
    <row r="59" ht="18.75" customHeight="1">
      <c r="A59" s="8" t="s">
        <v>16</v>
      </c>
      <c r="B59" s="92">
        <f>75000+25000</f>
        <v>100000</v>
      </c>
      <c r="C59" s="16" t="s">
        <v>177</v>
      </c>
      <c r="D59" s="17">
        <v>46043.0</v>
      </c>
      <c r="E59" s="104" t="s">
        <v>83</v>
      </c>
      <c r="F59" s="64" t="s">
        <v>172</v>
      </c>
      <c r="G59" s="64" t="s">
        <v>20</v>
      </c>
      <c r="H59" s="64" t="s">
        <v>178</v>
      </c>
      <c r="I59" s="75" t="s">
        <v>22</v>
      </c>
      <c r="J59" s="93">
        <v>1.057015158E9</v>
      </c>
      <c r="K59" s="93">
        <v>3.124092463E9</v>
      </c>
      <c r="L59" s="90" t="s">
        <v>180</v>
      </c>
      <c r="M59" s="105" t="s">
        <v>181</v>
      </c>
      <c r="N59" s="42" t="s">
        <v>24</v>
      </c>
      <c r="O59" s="64" t="s">
        <v>51</v>
      </c>
      <c r="P59" s="4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</row>
    <row r="60" ht="18.75" customHeight="1">
      <c r="A60" s="8" t="s">
        <v>16</v>
      </c>
      <c r="B60" s="106"/>
      <c r="C60" s="16" t="s">
        <v>177</v>
      </c>
      <c r="D60" s="17">
        <v>46043.0</v>
      </c>
      <c r="E60" s="104" t="s">
        <v>182</v>
      </c>
      <c r="F60" s="36" t="s">
        <v>55</v>
      </c>
      <c r="G60" s="64" t="s">
        <v>48</v>
      </c>
      <c r="H60" s="36" t="s">
        <v>64</v>
      </c>
      <c r="I60" s="39" t="s">
        <v>22</v>
      </c>
      <c r="J60" s="40">
        <v>2.3495297E7</v>
      </c>
      <c r="K60" s="40">
        <v>3.202058357E9</v>
      </c>
      <c r="L60" s="41"/>
      <c r="M60" s="42" t="s">
        <v>183</v>
      </c>
      <c r="N60" s="42" t="s">
        <v>24</v>
      </c>
      <c r="O60" s="36" t="s">
        <v>31</v>
      </c>
      <c r="P60" s="4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</row>
    <row r="61" ht="18.75" customHeight="1">
      <c r="A61" s="8" t="s">
        <v>16</v>
      </c>
      <c r="B61" s="106"/>
      <c r="C61" s="16" t="s">
        <v>177</v>
      </c>
      <c r="D61" s="17">
        <v>46043.0</v>
      </c>
      <c r="E61" s="18" t="s">
        <v>46</v>
      </c>
      <c r="F61" s="16" t="s">
        <v>55</v>
      </c>
      <c r="G61" s="19" t="s">
        <v>56</v>
      </c>
      <c r="H61" s="19" t="s">
        <v>84</v>
      </c>
      <c r="I61" s="20" t="s">
        <v>22</v>
      </c>
      <c r="J61" s="21">
        <v>1.8220928E7</v>
      </c>
      <c r="K61" s="21">
        <v>3.160549401E9</v>
      </c>
      <c r="L61" s="16"/>
      <c r="M61" s="42" t="s">
        <v>184</v>
      </c>
      <c r="N61" s="20" t="s">
        <v>24</v>
      </c>
      <c r="O61" s="16" t="s">
        <v>25</v>
      </c>
      <c r="P61" s="19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</row>
    <row r="62" ht="18.75" customHeight="1">
      <c r="A62" s="8" t="s">
        <v>16</v>
      </c>
      <c r="B62" s="9"/>
      <c r="C62" s="16" t="s">
        <v>177</v>
      </c>
      <c r="D62" s="17">
        <v>46043.0</v>
      </c>
      <c r="E62" s="18" t="s">
        <v>46</v>
      </c>
      <c r="F62" s="16" t="s">
        <v>55</v>
      </c>
      <c r="G62" s="19" t="s">
        <v>56</v>
      </c>
      <c r="H62" s="19" t="s">
        <v>87</v>
      </c>
      <c r="I62" s="20" t="s">
        <v>22</v>
      </c>
      <c r="J62" s="21">
        <v>2.3423635E7</v>
      </c>
      <c r="K62" s="21">
        <v>3.160549401E9</v>
      </c>
      <c r="L62" s="16"/>
      <c r="M62" s="42" t="s">
        <v>185</v>
      </c>
      <c r="N62" s="42" t="s">
        <v>24</v>
      </c>
      <c r="O62" s="16" t="s">
        <v>25</v>
      </c>
      <c r="P62" s="19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</row>
    <row r="63" ht="18.75" customHeight="1">
      <c r="A63" s="8" t="s">
        <v>16</v>
      </c>
      <c r="B63" s="33"/>
      <c r="C63" s="22" t="s">
        <v>177</v>
      </c>
      <c r="D63" s="23">
        <v>46043.0</v>
      </c>
      <c r="E63" s="24" t="s">
        <v>46</v>
      </c>
      <c r="F63" s="27" t="s">
        <v>89</v>
      </c>
      <c r="G63" s="22" t="s">
        <v>72</v>
      </c>
      <c r="H63" s="22" t="s">
        <v>90</v>
      </c>
      <c r="I63" s="25" t="s">
        <v>22</v>
      </c>
      <c r="J63" s="26">
        <v>4.043799E7</v>
      </c>
      <c r="K63" s="26">
        <v>3.142461856E9</v>
      </c>
      <c r="L63" s="27" t="s">
        <v>186</v>
      </c>
      <c r="M63" s="28" t="s">
        <v>43</v>
      </c>
      <c r="N63" s="28" t="s">
        <v>43</v>
      </c>
      <c r="O63" s="22" t="s">
        <v>92</v>
      </c>
      <c r="P63" s="22"/>
      <c r="Q63" s="82"/>
      <c r="R63" s="82"/>
      <c r="S63" s="82"/>
      <c r="T63" s="82"/>
      <c r="U63" s="82"/>
      <c r="V63" s="82"/>
      <c r="W63" s="82">
        <v>46032.26256944444</v>
      </c>
      <c r="X63" s="82" t="s">
        <v>45</v>
      </c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</row>
    <row r="64" ht="18.75" customHeight="1">
      <c r="A64" s="8" t="s">
        <v>16</v>
      </c>
      <c r="B64" s="2">
        <v>150000.0</v>
      </c>
      <c r="C64" s="16" t="s">
        <v>177</v>
      </c>
      <c r="D64" s="17">
        <v>46043.0</v>
      </c>
      <c r="E64" s="18" t="s">
        <v>187</v>
      </c>
      <c r="F64" s="19" t="s">
        <v>27</v>
      </c>
      <c r="G64" s="19" t="s">
        <v>20</v>
      </c>
      <c r="H64" s="19" t="s">
        <v>188</v>
      </c>
      <c r="I64" s="20" t="s">
        <v>22</v>
      </c>
      <c r="J64" s="21">
        <v>4.0315402E7</v>
      </c>
      <c r="K64" s="21">
        <v>3.102380219E9</v>
      </c>
      <c r="L64" s="16"/>
      <c r="M64" s="20" t="s">
        <v>189</v>
      </c>
      <c r="N64" s="20" t="s">
        <v>24</v>
      </c>
      <c r="O64" s="19" t="s">
        <v>25</v>
      </c>
      <c r="P64" s="19" t="s">
        <v>118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</row>
    <row r="65" ht="18.75" customHeight="1">
      <c r="A65" s="8" t="s">
        <v>16</v>
      </c>
      <c r="B65" s="15">
        <v>90000.0</v>
      </c>
      <c r="C65" s="16" t="s">
        <v>177</v>
      </c>
      <c r="D65" s="17">
        <v>46043.0</v>
      </c>
      <c r="E65" s="18" t="s">
        <v>187</v>
      </c>
      <c r="F65" s="19" t="s">
        <v>190</v>
      </c>
      <c r="G65" s="19" t="s">
        <v>20</v>
      </c>
      <c r="H65" s="19" t="s">
        <v>188</v>
      </c>
      <c r="I65" s="20" t="s">
        <v>22</v>
      </c>
      <c r="J65" s="21">
        <v>4.0315402E7</v>
      </c>
      <c r="K65" s="21">
        <v>3.102380219E9</v>
      </c>
      <c r="L65" s="16"/>
      <c r="M65" s="20" t="s">
        <v>189</v>
      </c>
      <c r="N65" s="20" t="s">
        <v>24</v>
      </c>
      <c r="O65" s="19" t="s">
        <v>25</v>
      </c>
      <c r="P65" s="19" t="s">
        <v>118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</row>
    <row r="66" ht="18.75" customHeight="1">
      <c r="A66" s="8" t="s">
        <v>16</v>
      </c>
      <c r="B66" s="15">
        <v>550000.0</v>
      </c>
      <c r="C66" s="16" t="s">
        <v>177</v>
      </c>
      <c r="D66" s="17">
        <v>46043.0</v>
      </c>
      <c r="E66" s="18" t="s">
        <v>130</v>
      </c>
      <c r="F66" s="19" t="s">
        <v>55</v>
      </c>
      <c r="G66" s="19" t="s">
        <v>191</v>
      </c>
      <c r="H66" s="19" t="s">
        <v>192</v>
      </c>
      <c r="I66" s="20" t="s">
        <v>22</v>
      </c>
      <c r="J66" s="21">
        <v>5.2079327E7</v>
      </c>
      <c r="K66" s="21">
        <v>3.150561674E9</v>
      </c>
      <c r="L66" s="19" t="s">
        <v>111</v>
      </c>
      <c r="M66" s="20" t="s">
        <v>193</v>
      </c>
      <c r="N66" s="20" t="s">
        <v>24</v>
      </c>
      <c r="O66" s="16" t="s">
        <v>31</v>
      </c>
      <c r="P66" s="1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</row>
    <row r="67" ht="18.75" customHeight="1">
      <c r="A67" s="8" t="s">
        <v>16</v>
      </c>
      <c r="B67" s="15">
        <v>550000.0</v>
      </c>
      <c r="C67" s="16" t="s">
        <v>177</v>
      </c>
      <c r="D67" s="17">
        <v>46043.0</v>
      </c>
      <c r="E67" s="18" t="s">
        <v>194</v>
      </c>
      <c r="F67" s="19" t="s">
        <v>55</v>
      </c>
      <c r="G67" s="19" t="s">
        <v>191</v>
      </c>
      <c r="H67" s="19" t="s">
        <v>195</v>
      </c>
      <c r="I67" s="20" t="s">
        <v>22</v>
      </c>
      <c r="J67" s="21">
        <v>4.0392151E7</v>
      </c>
      <c r="K67" s="21">
        <v>3.132439369E9</v>
      </c>
      <c r="L67" s="19" t="s">
        <v>111</v>
      </c>
      <c r="M67" s="20" t="s">
        <v>196</v>
      </c>
      <c r="N67" s="20" t="s">
        <v>24</v>
      </c>
      <c r="O67" s="16" t="s">
        <v>31</v>
      </c>
      <c r="P67" s="16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</row>
    <row r="68" ht="18.75" customHeight="1">
      <c r="A68" s="8" t="s">
        <v>16</v>
      </c>
      <c r="B68" s="9"/>
      <c r="C68" s="16" t="s">
        <v>177</v>
      </c>
      <c r="D68" s="17">
        <v>46043.0</v>
      </c>
      <c r="E68" s="18" t="s">
        <v>133</v>
      </c>
      <c r="F68" s="19" t="s">
        <v>197</v>
      </c>
      <c r="G68" s="16" t="s">
        <v>63</v>
      </c>
      <c r="H68" s="16" t="s">
        <v>198</v>
      </c>
      <c r="I68" s="30" t="s">
        <v>22</v>
      </c>
      <c r="J68" s="31">
        <v>2.1239441E7</v>
      </c>
      <c r="K68" s="31">
        <v>3.103457229E9</v>
      </c>
      <c r="L68" s="29">
        <v>3.134225528E9</v>
      </c>
      <c r="M68" s="20" t="s">
        <v>199</v>
      </c>
      <c r="N68" s="20" t="s">
        <v>24</v>
      </c>
      <c r="O68" s="16" t="s">
        <v>25</v>
      </c>
      <c r="P68" s="1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</row>
    <row r="69" ht="18.75" customHeight="1">
      <c r="A69" s="8" t="s">
        <v>16</v>
      </c>
      <c r="B69" s="2">
        <v>150000.0</v>
      </c>
      <c r="C69" s="16" t="s">
        <v>177</v>
      </c>
      <c r="D69" s="17">
        <v>46043.0</v>
      </c>
      <c r="E69" s="18" t="s">
        <v>133</v>
      </c>
      <c r="F69" s="19" t="s">
        <v>27</v>
      </c>
      <c r="G69" s="19" t="s">
        <v>20</v>
      </c>
      <c r="H69" s="19" t="s">
        <v>21</v>
      </c>
      <c r="I69" s="20" t="s">
        <v>22</v>
      </c>
      <c r="J69" s="21">
        <v>2.1190537E7</v>
      </c>
      <c r="K69" s="21">
        <v>3.112274436E9</v>
      </c>
      <c r="L69" s="16"/>
      <c r="M69" s="20" t="s">
        <v>200</v>
      </c>
      <c r="N69" s="20" t="s">
        <v>24</v>
      </c>
      <c r="O69" s="16" t="s">
        <v>25</v>
      </c>
      <c r="P69" s="1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</row>
    <row r="70" ht="18.75" customHeight="1">
      <c r="A70" s="8" t="s">
        <v>16</v>
      </c>
      <c r="B70" s="9"/>
      <c r="C70" s="16" t="s">
        <v>177</v>
      </c>
      <c r="D70" s="17">
        <v>46043.0</v>
      </c>
      <c r="E70" s="18" t="s">
        <v>201</v>
      </c>
      <c r="F70" s="19" t="s">
        <v>55</v>
      </c>
      <c r="G70" s="19" t="s">
        <v>97</v>
      </c>
      <c r="H70" s="19" t="s">
        <v>21</v>
      </c>
      <c r="I70" s="20" t="s">
        <v>22</v>
      </c>
      <c r="J70" s="21">
        <v>2.1190537E7</v>
      </c>
      <c r="K70" s="21">
        <v>3.112274436E9</v>
      </c>
      <c r="L70" s="16"/>
      <c r="M70" s="20" t="s">
        <v>202</v>
      </c>
      <c r="N70" s="20" t="s">
        <v>24</v>
      </c>
      <c r="O70" s="16" t="s">
        <v>25</v>
      </c>
      <c r="P70" s="16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</row>
    <row r="71" ht="18.75" customHeight="1">
      <c r="A71" s="8" t="s">
        <v>16</v>
      </c>
      <c r="B71" s="9"/>
      <c r="C71" s="22" t="s">
        <v>203</v>
      </c>
      <c r="D71" s="23">
        <v>46043.0</v>
      </c>
      <c r="E71" s="80" t="s">
        <v>204</v>
      </c>
      <c r="F71" s="22" t="s">
        <v>27</v>
      </c>
      <c r="G71" s="22" t="s">
        <v>20</v>
      </c>
      <c r="H71" s="27" t="s">
        <v>205</v>
      </c>
      <c r="I71" s="25" t="s">
        <v>22</v>
      </c>
      <c r="J71" s="26">
        <v>1.7496607E7</v>
      </c>
      <c r="K71" s="26">
        <v>3.167510163E9</v>
      </c>
      <c r="L71" s="27" t="s">
        <v>206</v>
      </c>
      <c r="M71" s="28" t="s">
        <v>43</v>
      </c>
      <c r="N71" s="28" t="s">
        <v>43</v>
      </c>
      <c r="O71" s="22" t="s">
        <v>31</v>
      </c>
      <c r="P71" s="22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</row>
    <row r="72" ht="18.75" customHeight="1">
      <c r="A72" s="8" t="s">
        <v>16</v>
      </c>
      <c r="B72" s="106"/>
      <c r="C72" s="107"/>
      <c r="D72" s="108"/>
      <c r="E72" s="109"/>
      <c r="F72" s="110"/>
      <c r="G72" s="10"/>
      <c r="H72" s="107"/>
      <c r="I72" s="111"/>
      <c r="J72" s="112"/>
      <c r="K72" s="112"/>
      <c r="L72" s="10"/>
      <c r="M72" s="113"/>
      <c r="N72" s="83"/>
      <c r="O72" s="10"/>
      <c r="P72" s="10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</row>
    <row r="73" ht="18.75" customHeight="1">
      <c r="A73" s="8" t="s">
        <v>16</v>
      </c>
      <c r="B73" s="106"/>
      <c r="C73" s="19" t="s">
        <v>207</v>
      </c>
      <c r="D73" s="114">
        <v>46044.0</v>
      </c>
      <c r="E73" s="18" t="s">
        <v>208</v>
      </c>
      <c r="F73" s="58" t="s">
        <v>209</v>
      </c>
      <c r="G73" s="19" t="s">
        <v>210</v>
      </c>
      <c r="H73" s="19" t="s">
        <v>211</v>
      </c>
      <c r="I73" s="20" t="s">
        <v>22</v>
      </c>
      <c r="J73" s="21">
        <v>1.121947588E9</v>
      </c>
      <c r="K73" s="21">
        <v>3.144057256E9</v>
      </c>
      <c r="L73" s="19" t="s">
        <v>212</v>
      </c>
      <c r="M73" s="60" t="s">
        <v>213</v>
      </c>
      <c r="N73" s="115" t="s">
        <v>24</v>
      </c>
      <c r="O73" s="19" t="s">
        <v>113</v>
      </c>
      <c r="P73" s="1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</row>
    <row r="74" ht="18.75" customHeight="1">
      <c r="A74" s="8" t="s">
        <v>16</v>
      </c>
      <c r="B74" s="106"/>
      <c r="C74" s="27" t="s">
        <v>207</v>
      </c>
      <c r="D74" s="116">
        <v>46044.0</v>
      </c>
      <c r="E74" s="80" t="s">
        <v>182</v>
      </c>
      <c r="F74" s="117" t="s">
        <v>214</v>
      </c>
      <c r="G74" s="27" t="s">
        <v>215</v>
      </c>
      <c r="H74" s="27" t="s">
        <v>216</v>
      </c>
      <c r="I74" s="28" t="s">
        <v>22</v>
      </c>
      <c r="J74" s="81">
        <v>2.3836857E7</v>
      </c>
      <c r="K74" s="81">
        <v>3.246882466E9</v>
      </c>
      <c r="L74" s="27" t="s">
        <v>217</v>
      </c>
      <c r="M74" s="28" t="s">
        <v>43</v>
      </c>
      <c r="N74" s="28" t="s">
        <v>24</v>
      </c>
      <c r="O74" s="27" t="s">
        <v>31</v>
      </c>
      <c r="P74" s="22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</row>
    <row r="75" ht="18.75" customHeight="1">
      <c r="A75" s="8" t="s">
        <v>16</v>
      </c>
      <c r="B75" s="15">
        <v>550000.0</v>
      </c>
      <c r="C75" s="19" t="s">
        <v>207</v>
      </c>
      <c r="D75" s="114">
        <v>46044.0</v>
      </c>
      <c r="E75" s="18" t="s">
        <v>182</v>
      </c>
      <c r="F75" s="19" t="s">
        <v>55</v>
      </c>
      <c r="G75" s="19" t="s">
        <v>215</v>
      </c>
      <c r="H75" s="19" t="s">
        <v>218</v>
      </c>
      <c r="I75" s="20" t="s">
        <v>22</v>
      </c>
      <c r="J75" s="21">
        <v>1.4198511E7</v>
      </c>
      <c r="K75" s="21">
        <v>3.115751375E9</v>
      </c>
      <c r="L75" s="19" t="s">
        <v>111</v>
      </c>
      <c r="M75" s="115" t="s">
        <v>219</v>
      </c>
      <c r="N75" s="115" t="s">
        <v>24</v>
      </c>
      <c r="O75" s="118" t="s">
        <v>220</v>
      </c>
      <c r="P75" s="1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</row>
    <row r="76" ht="18.75" customHeight="1">
      <c r="A76" s="8" t="s">
        <v>16</v>
      </c>
      <c r="B76" s="72"/>
      <c r="C76" s="19" t="s">
        <v>207</v>
      </c>
      <c r="D76" s="114">
        <v>46044.0</v>
      </c>
      <c r="E76" s="90" t="s">
        <v>221</v>
      </c>
      <c r="F76" s="64" t="s">
        <v>222</v>
      </c>
      <c r="G76" s="64" t="s">
        <v>48</v>
      </c>
      <c r="H76" s="73" t="s">
        <v>223</v>
      </c>
      <c r="I76" s="119" t="s">
        <v>22</v>
      </c>
      <c r="J76" s="74">
        <v>4.0378347E7</v>
      </c>
      <c r="K76" s="74">
        <v>3.213280897E9</v>
      </c>
      <c r="L76" s="41"/>
      <c r="M76" s="67" t="s">
        <v>224</v>
      </c>
      <c r="N76" s="115" t="s">
        <v>24</v>
      </c>
      <c r="O76" s="73" t="s">
        <v>31</v>
      </c>
      <c r="P76" s="41"/>
      <c r="Q76" s="77"/>
      <c r="R76" s="77"/>
      <c r="S76" s="77"/>
      <c r="T76" s="77"/>
      <c r="U76" s="77"/>
      <c r="V76" s="77"/>
      <c r="W76" s="120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</row>
    <row r="77" ht="18.75" customHeight="1">
      <c r="A77" s="8" t="s">
        <v>16</v>
      </c>
      <c r="B77" s="106"/>
      <c r="C77" s="19" t="s">
        <v>207</v>
      </c>
      <c r="D77" s="114">
        <v>46044.0</v>
      </c>
      <c r="E77" s="90" t="s">
        <v>40</v>
      </c>
      <c r="F77" s="73" t="s">
        <v>225</v>
      </c>
      <c r="G77" s="64" t="s">
        <v>97</v>
      </c>
      <c r="H77" s="73" t="s">
        <v>226</v>
      </c>
      <c r="I77" s="119" t="s">
        <v>22</v>
      </c>
      <c r="J77" s="74">
        <v>1.121831822E9</v>
      </c>
      <c r="K77" s="74">
        <v>3.209675749E9</v>
      </c>
      <c r="L77" s="64" t="s">
        <v>227</v>
      </c>
      <c r="M77" s="67" t="s">
        <v>228</v>
      </c>
      <c r="N77" s="121" t="s">
        <v>24</v>
      </c>
      <c r="O77" s="19" t="s">
        <v>113</v>
      </c>
      <c r="P77" s="122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</row>
    <row r="78" ht="18.75" customHeight="1">
      <c r="A78" s="8" t="s">
        <v>16</v>
      </c>
      <c r="B78" s="15">
        <v>550000.0</v>
      </c>
      <c r="C78" s="19" t="s">
        <v>207</v>
      </c>
      <c r="D78" s="114">
        <v>46044.0</v>
      </c>
      <c r="E78" s="18" t="s">
        <v>93</v>
      </c>
      <c r="F78" s="19" t="s">
        <v>79</v>
      </c>
      <c r="G78" s="19" t="s">
        <v>72</v>
      </c>
      <c r="H78" s="19" t="s">
        <v>229</v>
      </c>
      <c r="I78" s="20" t="s">
        <v>22</v>
      </c>
      <c r="J78" s="21">
        <v>1.095510088E9</v>
      </c>
      <c r="K78" s="21">
        <v>3.172235083E9</v>
      </c>
      <c r="L78" s="19" t="s">
        <v>111</v>
      </c>
      <c r="M78" s="115" t="s">
        <v>230</v>
      </c>
      <c r="N78" s="115" t="s">
        <v>24</v>
      </c>
      <c r="O78" s="118" t="s">
        <v>82</v>
      </c>
      <c r="P78" s="1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</row>
    <row r="79" ht="18.75" customHeight="1">
      <c r="A79" s="8" t="s">
        <v>16</v>
      </c>
      <c r="B79" s="15">
        <v>550000.0</v>
      </c>
      <c r="C79" s="19" t="s">
        <v>207</v>
      </c>
      <c r="D79" s="114">
        <v>46044.0</v>
      </c>
      <c r="E79" s="18" t="s">
        <v>46</v>
      </c>
      <c r="F79" s="16" t="s">
        <v>79</v>
      </c>
      <c r="G79" s="19" t="s">
        <v>72</v>
      </c>
      <c r="H79" s="19" t="s">
        <v>231</v>
      </c>
      <c r="I79" s="20" t="s">
        <v>232</v>
      </c>
      <c r="J79" s="21">
        <v>1264665.0</v>
      </c>
      <c r="K79" s="21">
        <v>3.046362182E9</v>
      </c>
      <c r="L79" s="16"/>
      <c r="M79" s="20" t="s">
        <v>233</v>
      </c>
      <c r="N79" s="20" t="s">
        <v>24</v>
      </c>
      <c r="O79" s="19" t="s">
        <v>31</v>
      </c>
      <c r="P79" s="16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</row>
    <row r="80" ht="18.75" customHeight="1">
      <c r="A80" s="8" t="s">
        <v>16</v>
      </c>
      <c r="B80" s="15">
        <v>550000.0</v>
      </c>
      <c r="C80" s="19" t="s">
        <v>207</v>
      </c>
      <c r="D80" s="114">
        <v>46044.0</v>
      </c>
      <c r="E80" s="18" t="s">
        <v>52</v>
      </c>
      <c r="F80" s="19" t="s">
        <v>234</v>
      </c>
      <c r="G80" s="19" t="s">
        <v>72</v>
      </c>
      <c r="H80" s="19" t="s">
        <v>235</v>
      </c>
      <c r="I80" s="20" t="s">
        <v>22</v>
      </c>
      <c r="J80" s="21">
        <v>4.0374299E7</v>
      </c>
      <c r="K80" s="21">
        <v>3.143310832E9</v>
      </c>
      <c r="L80" s="16"/>
      <c r="M80" s="20" t="s">
        <v>236</v>
      </c>
      <c r="N80" s="20" t="s">
        <v>24</v>
      </c>
      <c r="O80" s="19" t="s">
        <v>113</v>
      </c>
      <c r="P80" s="16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</row>
    <row r="81" ht="18.75" customHeight="1">
      <c r="A81" s="8" t="s">
        <v>16</v>
      </c>
      <c r="B81" s="123"/>
      <c r="C81" s="19" t="s">
        <v>207</v>
      </c>
      <c r="D81" s="114">
        <v>46044.0</v>
      </c>
      <c r="E81" s="18" t="s">
        <v>130</v>
      </c>
      <c r="F81" s="16" t="s">
        <v>79</v>
      </c>
      <c r="G81" s="19" t="s">
        <v>48</v>
      </c>
      <c r="H81" s="16" t="s">
        <v>80</v>
      </c>
      <c r="I81" s="30" t="s">
        <v>22</v>
      </c>
      <c r="J81" s="31">
        <v>2.414401E7</v>
      </c>
      <c r="K81" s="31">
        <v>3.203125887E9</v>
      </c>
      <c r="L81" s="16"/>
      <c r="M81" s="20" t="s">
        <v>237</v>
      </c>
      <c r="N81" s="20" t="s">
        <v>24</v>
      </c>
      <c r="O81" s="16" t="s">
        <v>82</v>
      </c>
      <c r="P81" s="16"/>
      <c r="Q81" s="82"/>
      <c r="R81" s="82"/>
      <c r="S81" s="82"/>
      <c r="T81" s="82"/>
      <c r="U81" s="82"/>
      <c r="V81" s="82"/>
      <c r="W81" s="82">
        <v>46032.26256944444</v>
      </c>
      <c r="X81" s="82" t="s">
        <v>45</v>
      </c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</row>
    <row r="82" ht="18.75" customHeight="1">
      <c r="A82" s="8" t="s">
        <v>16</v>
      </c>
      <c r="B82" s="15">
        <v>60000.0</v>
      </c>
      <c r="C82" s="19" t="s">
        <v>207</v>
      </c>
      <c r="D82" s="114">
        <v>46044.0</v>
      </c>
      <c r="E82" s="18" t="s">
        <v>130</v>
      </c>
      <c r="F82" s="19" t="s">
        <v>238</v>
      </c>
      <c r="G82" s="19" t="s">
        <v>20</v>
      </c>
      <c r="H82" s="16" t="s">
        <v>80</v>
      </c>
      <c r="I82" s="30" t="s">
        <v>22</v>
      </c>
      <c r="J82" s="31">
        <v>2.414401E7</v>
      </c>
      <c r="K82" s="31">
        <v>3.203125887E9</v>
      </c>
      <c r="L82" s="16"/>
      <c r="M82" s="20" t="s">
        <v>239</v>
      </c>
      <c r="N82" s="20" t="s">
        <v>24</v>
      </c>
      <c r="O82" s="16" t="s">
        <v>82</v>
      </c>
      <c r="P82" s="16"/>
      <c r="Q82" s="82"/>
      <c r="R82" s="82"/>
      <c r="S82" s="82"/>
      <c r="T82" s="82"/>
      <c r="U82" s="82"/>
      <c r="V82" s="82"/>
      <c r="W82" s="82">
        <v>46032.26256944444</v>
      </c>
      <c r="X82" s="82" t="s">
        <v>45</v>
      </c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</row>
    <row r="83" ht="18.75" customHeight="1">
      <c r="A83" s="8" t="s">
        <v>16</v>
      </c>
      <c r="B83" s="15">
        <v>550000.0</v>
      </c>
      <c r="C83" s="19" t="s">
        <v>207</v>
      </c>
      <c r="D83" s="114">
        <v>46044.0</v>
      </c>
      <c r="E83" s="18" t="s">
        <v>133</v>
      </c>
      <c r="F83" s="58" t="s">
        <v>55</v>
      </c>
      <c r="G83" s="19" t="s">
        <v>72</v>
      </c>
      <c r="H83" s="19" t="s">
        <v>240</v>
      </c>
      <c r="I83" s="20" t="s">
        <v>22</v>
      </c>
      <c r="J83" s="21">
        <v>8.6041711E7</v>
      </c>
      <c r="K83" s="21">
        <v>3.112445402E9</v>
      </c>
      <c r="L83" s="19" t="s">
        <v>241</v>
      </c>
      <c r="M83" s="60" t="s">
        <v>242</v>
      </c>
      <c r="N83" s="20" t="s">
        <v>24</v>
      </c>
      <c r="O83" s="19" t="s">
        <v>31</v>
      </c>
      <c r="P83" s="1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</row>
    <row r="84" ht="18.75" customHeight="1">
      <c r="A84" s="8" t="s">
        <v>16</v>
      </c>
      <c r="B84" s="33"/>
      <c r="C84" s="124"/>
      <c r="D84" s="125"/>
      <c r="E84" s="126"/>
      <c r="F84" s="110"/>
      <c r="G84" s="127"/>
      <c r="H84" s="124"/>
      <c r="I84" s="83"/>
      <c r="J84" s="128"/>
      <c r="K84" s="128"/>
      <c r="L84" s="10"/>
      <c r="M84" s="113"/>
      <c r="N84" s="83"/>
      <c r="O84" s="10"/>
      <c r="P84" s="10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</row>
    <row r="85" ht="18.75" customHeight="1">
      <c r="A85" s="8" t="s">
        <v>16</v>
      </c>
      <c r="B85" s="129">
        <v>50000.0</v>
      </c>
      <c r="C85" s="19" t="s">
        <v>62</v>
      </c>
      <c r="D85" s="88">
        <v>46045.0</v>
      </c>
      <c r="E85" s="130" t="s">
        <v>70</v>
      </c>
      <c r="F85" s="131" t="s">
        <v>243</v>
      </c>
      <c r="G85" s="131" t="s">
        <v>20</v>
      </c>
      <c r="H85" s="132" t="s">
        <v>244</v>
      </c>
      <c r="I85" s="133" t="s">
        <v>22</v>
      </c>
      <c r="J85" s="134">
        <v>1.006502074E9</v>
      </c>
      <c r="K85" s="134">
        <v>3.118566973E9</v>
      </c>
      <c r="L85" s="122"/>
      <c r="M85" s="135" t="s">
        <v>245</v>
      </c>
      <c r="N85" s="133" t="s">
        <v>24</v>
      </c>
      <c r="O85" s="131" t="s">
        <v>246</v>
      </c>
      <c r="P85" s="122"/>
      <c r="Q85" s="7"/>
      <c r="R85" s="7"/>
      <c r="S85" s="7"/>
      <c r="T85" s="7"/>
      <c r="U85" s="7"/>
      <c r="V85" s="7"/>
      <c r="W85" s="7"/>
      <c r="X85" s="7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</row>
    <row r="86" ht="18.75" customHeight="1">
      <c r="A86" s="8" t="s">
        <v>16</v>
      </c>
      <c r="B86" s="106"/>
      <c r="C86" s="27" t="s">
        <v>62</v>
      </c>
      <c r="D86" s="137">
        <v>46045.0</v>
      </c>
      <c r="E86" s="80" t="s">
        <v>247</v>
      </c>
      <c r="F86" s="117" t="s">
        <v>248</v>
      </c>
      <c r="G86" s="27" t="s">
        <v>72</v>
      </c>
      <c r="H86" s="27" t="s">
        <v>249</v>
      </c>
      <c r="I86" s="28" t="s">
        <v>250</v>
      </c>
      <c r="J86" s="81">
        <v>1.5253597E7</v>
      </c>
      <c r="K86" s="81">
        <v>3.22275381E9</v>
      </c>
      <c r="L86" s="27" t="s">
        <v>251</v>
      </c>
      <c r="M86" s="138" t="s">
        <v>43</v>
      </c>
      <c r="N86" s="28" t="s">
        <v>43</v>
      </c>
      <c r="O86" s="27" t="s">
        <v>92</v>
      </c>
      <c r="P86" s="22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</row>
    <row r="87" ht="18.75" customHeight="1">
      <c r="A87" s="8" t="s">
        <v>16</v>
      </c>
      <c r="B87" s="139"/>
      <c r="C87" s="27" t="s">
        <v>62</v>
      </c>
      <c r="D87" s="137">
        <v>46045.0</v>
      </c>
      <c r="E87" s="140" t="s">
        <v>83</v>
      </c>
      <c r="F87" s="45" t="s">
        <v>55</v>
      </c>
      <c r="G87" s="52" t="s">
        <v>252</v>
      </c>
      <c r="H87" s="45" t="s">
        <v>163</v>
      </c>
      <c r="I87" s="50" t="s">
        <v>22</v>
      </c>
      <c r="J87" s="51">
        <v>1.5253597E7</v>
      </c>
      <c r="K87" s="51">
        <v>3.22275381E9</v>
      </c>
      <c r="L87" s="27" t="s">
        <v>251</v>
      </c>
      <c r="M87" s="138" t="s">
        <v>43</v>
      </c>
      <c r="N87" s="138" t="s">
        <v>43</v>
      </c>
      <c r="O87" s="45" t="s">
        <v>92</v>
      </c>
      <c r="P87" s="5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</row>
    <row r="88" ht="18.75" customHeight="1">
      <c r="A88" s="8" t="s">
        <v>16</v>
      </c>
      <c r="B88" s="2">
        <v>100000.0</v>
      </c>
      <c r="C88" s="16" t="s">
        <v>62</v>
      </c>
      <c r="D88" s="17">
        <v>46045.0</v>
      </c>
      <c r="E88" s="29" t="s">
        <v>83</v>
      </c>
      <c r="F88" s="16" t="s">
        <v>253</v>
      </c>
      <c r="G88" s="16" t="s">
        <v>20</v>
      </c>
      <c r="H88" s="16" t="s">
        <v>254</v>
      </c>
      <c r="I88" s="30" t="s">
        <v>22</v>
      </c>
      <c r="J88" s="31">
        <v>2.122404E7</v>
      </c>
      <c r="K88" s="31">
        <v>3.132665878E9</v>
      </c>
      <c r="L88" s="16"/>
      <c r="M88" s="20" t="s">
        <v>255</v>
      </c>
      <c r="N88" s="20" t="s">
        <v>24</v>
      </c>
      <c r="O88" s="16" t="s">
        <v>31</v>
      </c>
      <c r="P88" s="1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</row>
    <row r="89" ht="18.75" customHeight="1">
      <c r="A89" s="8" t="s">
        <v>16</v>
      </c>
      <c r="B89" s="15">
        <v>200000.0</v>
      </c>
      <c r="C89" s="16" t="s">
        <v>62</v>
      </c>
      <c r="D89" s="17">
        <v>46045.0</v>
      </c>
      <c r="E89" s="29" t="s">
        <v>83</v>
      </c>
      <c r="F89" s="19" t="s">
        <v>256</v>
      </c>
      <c r="G89" s="16" t="s">
        <v>20</v>
      </c>
      <c r="H89" s="16" t="s">
        <v>254</v>
      </c>
      <c r="I89" s="30" t="s">
        <v>22</v>
      </c>
      <c r="J89" s="31">
        <v>2.122404E7</v>
      </c>
      <c r="K89" s="31">
        <v>3.132665878E9</v>
      </c>
      <c r="L89" s="16"/>
      <c r="M89" s="20" t="s">
        <v>257</v>
      </c>
      <c r="N89" s="20" t="s">
        <v>24</v>
      </c>
      <c r="O89" s="16" t="s">
        <v>31</v>
      </c>
      <c r="P89" s="1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</row>
    <row r="90" ht="18.75" customHeight="1">
      <c r="A90" s="8" t="s">
        <v>16</v>
      </c>
      <c r="B90" s="141"/>
      <c r="C90" s="19" t="s">
        <v>62</v>
      </c>
      <c r="D90" s="88">
        <v>46045.0</v>
      </c>
      <c r="E90" s="63" t="s">
        <v>208</v>
      </c>
      <c r="F90" s="36" t="s">
        <v>55</v>
      </c>
      <c r="G90" s="64" t="s">
        <v>48</v>
      </c>
      <c r="H90" s="36" t="s">
        <v>258</v>
      </c>
      <c r="I90" s="39" t="s">
        <v>22</v>
      </c>
      <c r="J90" s="40">
        <v>1.121816217E9</v>
      </c>
      <c r="K90" s="40">
        <v>3.138612013E9</v>
      </c>
      <c r="L90" s="65" t="s">
        <v>259</v>
      </c>
      <c r="M90" s="42" t="s">
        <v>260</v>
      </c>
      <c r="N90" s="142" t="s">
        <v>24</v>
      </c>
      <c r="O90" s="36" t="s">
        <v>31</v>
      </c>
      <c r="P90" s="41"/>
      <c r="Q90" s="7"/>
      <c r="R90" s="7"/>
      <c r="S90" s="7"/>
      <c r="T90" s="7"/>
      <c r="U90" s="7"/>
      <c r="V90" s="7"/>
      <c r="W90" s="7"/>
      <c r="X90" s="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</row>
    <row r="91" ht="18.75" customHeight="1">
      <c r="A91" s="8" t="s">
        <v>16</v>
      </c>
      <c r="B91" s="2">
        <v>150000.0</v>
      </c>
      <c r="C91" s="19" t="s">
        <v>62</v>
      </c>
      <c r="D91" s="88">
        <v>46045.0</v>
      </c>
      <c r="E91" s="29" t="s">
        <v>261</v>
      </c>
      <c r="F91" s="16" t="s">
        <v>262</v>
      </c>
      <c r="G91" s="16" t="s">
        <v>20</v>
      </c>
      <c r="H91" s="16" t="s">
        <v>263</v>
      </c>
      <c r="I91" s="30" t="s">
        <v>22</v>
      </c>
      <c r="J91" s="31">
        <v>5.1927553E7</v>
      </c>
      <c r="K91" s="31">
        <v>3.164209798E9</v>
      </c>
      <c r="L91" s="16"/>
      <c r="M91" s="20" t="s">
        <v>245</v>
      </c>
      <c r="N91" s="20" t="s">
        <v>24</v>
      </c>
      <c r="O91" s="16" t="s">
        <v>31</v>
      </c>
      <c r="P91" s="16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</row>
    <row r="92" ht="18.75" customHeight="1">
      <c r="A92" s="8" t="s">
        <v>16</v>
      </c>
      <c r="B92" s="15">
        <v>550000.0</v>
      </c>
      <c r="C92" s="19" t="s">
        <v>62</v>
      </c>
      <c r="D92" s="88">
        <v>46045.0</v>
      </c>
      <c r="E92" s="29" t="s">
        <v>261</v>
      </c>
      <c r="F92" s="19" t="s">
        <v>264</v>
      </c>
      <c r="G92" s="19" t="s">
        <v>72</v>
      </c>
      <c r="H92" s="16" t="s">
        <v>263</v>
      </c>
      <c r="I92" s="30" t="s">
        <v>22</v>
      </c>
      <c r="J92" s="31">
        <v>5.1927553E7</v>
      </c>
      <c r="K92" s="31">
        <v>3.164209798E9</v>
      </c>
      <c r="L92" s="16"/>
      <c r="M92" s="20" t="s">
        <v>265</v>
      </c>
      <c r="N92" s="20" t="s">
        <v>24</v>
      </c>
      <c r="O92" s="16" t="s">
        <v>31</v>
      </c>
      <c r="P92" s="16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</row>
    <row r="93" ht="18.75" customHeight="1">
      <c r="A93" s="8" t="s">
        <v>16</v>
      </c>
      <c r="B93" s="15">
        <f>120000+70000+60000+60000+60000</f>
        <v>370000</v>
      </c>
      <c r="C93" s="19" t="s">
        <v>62</v>
      </c>
      <c r="D93" s="88">
        <v>46045.0</v>
      </c>
      <c r="E93" s="29" t="s">
        <v>261</v>
      </c>
      <c r="F93" s="19" t="s">
        <v>266</v>
      </c>
      <c r="G93" s="16" t="s">
        <v>20</v>
      </c>
      <c r="H93" s="16" t="s">
        <v>263</v>
      </c>
      <c r="I93" s="30" t="s">
        <v>22</v>
      </c>
      <c r="J93" s="31">
        <v>5.1927553E7</v>
      </c>
      <c r="K93" s="31">
        <v>3.164209798E9</v>
      </c>
      <c r="L93" s="16"/>
      <c r="M93" s="20" t="s">
        <v>267</v>
      </c>
      <c r="N93" s="20" t="s">
        <v>24</v>
      </c>
      <c r="O93" s="16" t="s">
        <v>31</v>
      </c>
      <c r="P93" s="16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</row>
    <row r="94" ht="18.75" customHeight="1">
      <c r="A94" s="8" t="s">
        <v>16</v>
      </c>
      <c r="B94" s="106"/>
      <c r="C94" s="27" t="s">
        <v>62</v>
      </c>
      <c r="D94" s="137">
        <v>46045.0</v>
      </c>
      <c r="E94" s="80" t="s">
        <v>182</v>
      </c>
      <c r="F94" s="27" t="s">
        <v>268</v>
      </c>
      <c r="G94" s="22" t="s">
        <v>20</v>
      </c>
      <c r="H94" s="27" t="s">
        <v>269</v>
      </c>
      <c r="I94" s="25" t="s">
        <v>22</v>
      </c>
      <c r="J94" s="81" t="s">
        <v>270</v>
      </c>
      <c r="K94" s="81">
        <v>3.114804286E9</v>
      </c>
      <c r="L94" s="27" t="s">
        <v>271</v>
      </c>
      <c r="M94" s="28" t="s">
        <v>43</v>
      </c>
      <c r="N94" s="28" t="s">
        <v>43</v>
      </c>
      <c r="O94" s="27" t="s">
        <v>25</v>
      </c>
      <c r="P94" s="22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</row>
    <row r="95" ht="18.75" customHeight="1">
      <c r="A95" s="8" t="s">
        <v>16</v>
      </c>
      <c r="B95" s="9"/>
      <c r="C95" s="22" t="s">
        <v>62</v>
      </c>
      <c r="D95" s="23">
        <v>46045.0</v>
      </c>
      <c r="E95" s="80" t="s">
        <v>37</v>
      </c>
      <c r="F95" s="27" t="s">
        <v>262</v>
      </c>
      <c r="G95" s="27" t="s">
        <v>20</v>
      </c>
      <c r="H95" s="27" t="s">
        <v>41</v>
      </c>
      <c r="I95" s="28" t="s">
        <v>22</v>
      </c>
      <c r="J95" s="81">
        <v>1.24242622E8</v>
      </c>
      <c r="K95" s="81">
        <v>3.12313099E9</v>
      </c>
      <c r="L95" s="27" t="s">
        <v>272</v>
      </c>
      <c r="M95" s="28" t="s">
        <v>43</v>
      </c>
      <c r="N95" s="28" t="s">
        <v>43</v>
      </c>
      <c r="O95" s="27" t="s">
        <v>220</v>
      </c>
      <c r="P95" s="22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</row>
    <row r="96" ht="18.75" customHeight="1">
      <c r="A96" s="8" t="s">
        <v>16</v>
      </c>
      <c r="B96" s="9"/>
      <c r="C96" s="19" t="s">
        <v>62</v>
      </c>
      <c r="D96" s="88">
        <v>46045.0</v>
      </c>
      <c r="E96" s="29" t="s">
        <v>46</v>
      </c>
      <c r="F96" s="16" t="s">
        <v>55</v>
      </c>
      <c r="G96" s="19" t="s">
        <v>97</v>
      </c>
      <c r="H96" s="16" t="s">
        <v>57</v>
      </c>
      <c r="I96" s="30" t="s">
        <v>22</v>
      </c>
      <c r="J96" s="31">
        <v>7818103.0</v>
      </c>
      <c r="K96" s="31">
        <v>3.114816788E9</v>
      </c>
      <c r="L96" s="19" t="s">
        <v>273</v>
      </c>
      <c r="M96" s="20" t="s">
        <v>274</v>
      </c>
      <c r="N96" s="20" t="s">
        <v>24</v>
      </c>
      <c r="O96" s="16" t="s">
        <v>51</v>
      </c>
      <c r="P96" s="16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</row>
    <row r="97" ht="18.75" customHeight="1">
      <c r="A97" s="8" t="s">
        <v>16</v>
      </c>
      <c r="B97" s="9"/>
      <c r="C97" s="16" t="s">
        <v>62</v>
      </c>
      <c r="D97" s="17">
        <v>46045.0</v>
      </c>
      <c r="E97" s="29" t="s">
        <v>46</v>
      </c>
      <c r="F97" s="16" t="s">
        <v>55</v>
      </c>
      <c r="G97" s="19" t="s">
        <v>97</v>
      </c>
      <c r="H97" s="16" t="s">
        <v>60</v>
      </c>
      <c r="I97" s="30" t="s">
        <v>22</v>
      </c>
      <c r="J97" s="31">
        <v>4.0384164E7</v>
      </c>
      <c r="K97" s="31">
        <v>3.114816798E9</v>
      </c>
      <c r="L97" s="19" t="s">
        <v>275</v>
      </c>
      <c r="M97" s="20" t="s">
        <v>276</v>
      </c>
      <c r="N97" s="20" t="s">
        <v>24</v>
      </c>
      <c r="O97" s="16" t="s">
        <v>51</v>
      </c>
      <c r="P97" s="16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</row>
    <row r="98" ht="18.75" customHeight="1">
      <c r="A98" s="8" t="s">
        <v>16</v>
      </c>
      <c r="B98" s="9"/>
      <c r="C98" s="19" t="s">
        <v>62</v>
      </c>
      <c r="D98" s="88">
        <v>46045.0</v>
      </c>
      <c r="E98" s="29" t="s">
        <v>133</v>
      </c>
      <c r="F98" s="19" t="s">
        <v>79</v>
      </c>
      <c r="G98" s="16" t="s">
        <v>63</v>
      </c>
      <c r="H98" s="16" t="s">
        <v>277</v>
      </c>
      <c r="I98" s="30" t="s">
        <v>22</v>
      </c>
      <c r="J98" s="31">
        <v>5.2541647E7</v>
      </c>
      <c r="K98" s="31">
        <v>3.225136367E9</v>
      </c>
      <c r="L98" s="143"/>
      <c r="M98" s="20" t="s">
        <v>278</v>
      </c>
      <c r="N98" s="20" t="s">
        <v>24</v>
      </c>
      <c r="O98" s="16" t="s">
        <v>25</v>
      </c>
      <c r="P98" s="16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</row>
    <row r="99" ht="18.75" customHeight="1">
      <c r="A99" s="8" t="s">
        <v>16</v>
      </c>
      <c r="B99" s="15">
        <v>240000.0</v>
      </c>
      <c r="C99" s="19" t="s">
        <v>62</v>
      </c>
      <c r="D99" s="88">
        <v>46045.0</v>
      </c>
      <c r="E99" s="29" t="s">
        <v>133</v>
      </c>
      <c r="F99" s="19" t="s">
        <v>279</v>
      </c>
      <c r="G99" s="19" t="s">
        <v>20</v>
      </c>
      <c r="H99" s="16" t="s">
        <v>277</v>
      </c>
      <c r="I99" s="30" t="s">
        <v>22</v>
      </c>
      <c r="J99" s="31">
        <v>5.2541647E7</v>
      </c>
      <c r="K99" s="31">
        <v>3.225136367E9</v>
      </c>
      <c r="L99" s="143"/>
      <c r="M99" s="20" t="s">
        <v>280</v>
      </c>
      <c r="N99" s="20" t="s">
        <v>24</v>
      </c>
      <c r="O99" s="16" t="s">
        <v>25</v>
      </c>
      <c r="P99" s="16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</row>
    <row r="100" ht="18.75" customHeight="1">
      <c r="A100" s="8" t="s">
        <v>16</v>
      </c>
      <c r="B100" s="2">
        <f>60000+60000+70000</f>
        <v>190000</v>
      </c>
      <c r="C100" s="16" t="s">
        <v>177</v>
      </c>
      <c r="D100" s="17">
        <v>46043.0</v>
      </c>
      <c r="E100" s="18" t="s">
        <v>187</v>
      </c>
      <c r="F100" s="19" t="s">
        <v>281</v>
      </c>
      <c r="G100" s="19" t="s">
        <v>20</v>
      </c>
      <c r="H100" s="19" t="s">
        <v>188</v>
      </c>
      <c r="I100" s="20" t="s">
        <v>22</v>
      </c>
      <c r="J100" s="21">
        <v>4.0315402E7</v>
      </c>
      <c r="K100" s="21">
        <v>3.102380219E9</v>
      </c>
      <c r="L100" s="16"/>
      <c r="M100" s="20" t="s">
        <v>282</v>
      </c>
      <c r="N100" s="20" t="s">
        <v>24</v>
      </c>
      <c r="O100" s="19" t="s">
        <v>25</v>
      </c>
      <c r="P100" s="19" t="s">
        <v>118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</row>
    <row r="101" ht="18.75" customHeight="1">
      <c r="A101" s="8" t="s">
        <v>16</v>
      </c>
      <c r="B101" s="144"/>
      <c r="C101" s="22" t="s">
        <v>62</v>
      </c>
      <c r="D101" s="23">
        <v>46045.0</v>
      </c>
      <c r="E101" s="145" t="s">
        <v>70</v>
      </c>
      <c r="F101" s="49" t="s">
        <v>146</v>
      </c>
      <c r="G101" s="49" t="s">
        <v>72</v>
      </c>
      <c r="H101" s="49" t="s">
        <v>283</v>
      </c>
      <c r="I101" s="146" t="s">
        <v>22</v>
      </c>
      <c r="J101" s="147">
        <v>1.5886977E7</v>
      </c>
      <c r="K101" s="147">
        <v>3.122857949E9</v>
      </c>
      <c r="L101" s="148" t="s">
        <v>284</v>
      </c>
      <c r="M101" s="28" t="s">
        <v>43</v>
      </c>
      <c r="N101" s="149" t="s">
        <v>43</v>
      </c>
      <c r="O101" s="49" t="s">
        <v>220</v>
      </c>
      <c r="P101" s="150"/>
      <c r="Q101" s="151"/>
      <c r="R101" s="151"/>
      <c r="S101" s="151"/>
      <c r="T101" s="151"/>
      <c r="U101" s="151"/>
      <c r="V101" s="151"/>
      <c r="W101" s="152">
        <v>46037.591875</v>
      </c>
      <c r="X101" s="153" t="s">
        <v>45</v>
      </c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  <c r="BN101" s="151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1"/>
      <c r="CD101" s="151"/>
      <c r="CE101" s="151"/>
      <c r="CF101" s="151"/>
      <c r="CG101" s="151"/>
      <c r="CH101" s="151"/>
      <c r="CI101" s="151"/>
      <c r="CJ101" s="151"/>
      <c r="CK101" s="151"/>
      <c r="CL101" s="151"/>
      <c r="CM101" s="151"/>
      <c r="CN101" s="151"/>
      <c r="CO101" s="151"/>
      <c r="CP101" s="151"/>
      <c r="CQ101" s="151"/>
      <c r="CR101" s="151"/>
      <c r="CS101" s="151"/>
      <c r="CT101" s="151"/>
      <c r="CU101" s="151"/>
      <c r="CV101" s="151"/>
      <c r="CW101" s="151"/>
      <c r="CX101" s="151"/>
      <c r="CY101" s="151"/>
    </row>
    <row r="102" ht="18.75" customHeight="1">
      <c r="A102" s="8" t="s">
        <v>16</v>
      </c>
      <c r="B102" s="154"/>
      <c r="C102" s="10"/>
      <c r="D102" s="11"/>
      <c r="E102" s="155"/>
      <c r="F102" s="156"/>
      <c r="G102" s="156"/>
      <c r="H102" s="156"/>
      <c r="I102" s="157"/>
      <c r="J102" s="158"/>
      <c r="K102" s="158"/>
      <c r="L102" s="156"/>
      <c r="M102" s="157"/>
      <c r="N102" s="156"/>
      <c r="O102" s="156"/>
      <c r="P102" s="156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</row>
    <row r="103" ht="18.75" customHeight="1">
      <c r="A103" s="8" t="s">
        <v>16</v>
      </c>
      <c r="B103" s="159">
        <v>728000.0</v>
      </c>
      <c r="C103" s="19" t="s">
        <v>285</v>
      </c>
      <c r="D103" s="88">
        <v>46046.0</v>
      </c>
      <c r="E103" s="160" t="s">
        <v>18</v>
      </c>
      <c r="F103" s="58" t="s">
        <v>286</v>
      </c>
      <c r="G103" s="19" t="s">
        <v>72</v>
      </c>
      <c r="H103" s="58" t="s">
        <v>287</v>
      </c>
      <c r="I103" s="161" t="s">
        <v>22</v>
      </c>
      <c r="J103" s="162">
        <v>8.6075637E7</v>
      </c>
      <c r="K103" s="162">
        <v>3.114643266E9</v>
      </c>
      <c r="L103" s="58" t="s">
        <v>288</v>
      </c>
      <c r="M103" s="163" t="s">
        <v>289</v>
      </c>
      <c r="N103" s="161" t="s">
        <v>24</v>
      </c>
      <c r="O103" s="58" t="s">
        <v>31</v>
      </c>
      <c r="P103" s="16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</row>
    <row r="104" ht="18.75" customHeight="1">
      <c r="A104" s="8" t="s">
        <v>16</v>
      </c>
      <c r="B104" s="165">
        <v>190000.0</v>
      </c>
      <c r="C104" s="19" t="s">
        <v>285</v>
      </c>
      <c r="D104" s="88">
        <v>46046.0</v>
      </c>
      <c r="E104" s="18" t="s">
        <v>247</v>
      </c>
      <c r="F104" s="36" t="s">
        <v>55</v>
      </c>
      <c r="G104" s="64" t="s">
        <v>252</v>
      </c>
      <c r="H104" s="36" t="s">
        <v>163</v>
      </c>
      <c r="I104" s="39" t="s">
        <v>22</v>
      </c>
      <c r="J104" s="40">
        <v>1.5253597E7</v>
      </c>
      <c r="K104" s="40">
        <v>3.22275381E9</v>
      </c>
      <c r="L104" s="19"/>
      <c r="M104" s="67" t="s">
        <v>290</v>
      </c>
      <c r="N104" s="67" t="s">
        <v>24</v>
      </c>
      <c r="O104" s="36" t="s">
        <v>92</v>
      </c>
      <c r="P104" s="4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</row>
    <row r="105" ht="18.75" customHeight="1">
      <c r="A105" s="8" t="s">
        <v>16</v>
      </c>
      <c r="B105" s="15">
        <v>170000.0</v>
      </c>
      <c r="C105" s="19" t="s">
        <v>285</v>
      </c>
      <c r="D105" s="88">
        <v>46046.0</v>
      </c>
      <c r="E105" s="29" t="s">
        <v>83</v>
      </c>
      <c r="F105" s="19" t="s">
        <v>291</v>
      </c>
      <c r="G105" s="16" t="s">
        <v>20</v>
      </c>
      <c r="H105" s="16" t="s">
        <v>254</v>
      </c>
      <c r="I105" s="30" t="s">
        <v>22</v>
      </c>
      <c r="J105" s="31">
        <v>2.122404E7</v>
      </c>
      <c r="K105" s="31">
        <v>3.132665878E9</v>
      </c>
      <c r="L105" s="19" t="s">
        <v>292</v>
      </c>
      <c r="M105" s="20" t="s">
        <v>293</v>
      </c>
      <c r="N105" s="20" t="s">
        <v>24</v>
      </c>
      <c r="O105" s="16" t="s">
        <v>31</v>
      </c>
      <c r="P105" s="16"/>
      <c r="Q105" s="82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</row>
    <row r="106" ht="18.75" customHeight="1">
      <c r="A106" s="8" t="s">
        <v>16</v>
      </c>
      <c r="B106" s="154"/>
      <c r="C106" s="19" t="s">
        <v>285</v>
      </c>
      <c r="D106" s="88">
        <v>46046.0</v>
      </c>
      <c r="E106" s="18" t="s">
        <v>221</v>
      </c>
      <c r="F106" s="19" t="s">
        <v>294</v>
      </c>
      <c r="G106" s="19" t="s">
        <v>97</v>
      </c>
      <c r="H106" s="19" t="s">
        <v>115</v>
      </c>
      <c r="I106" s="30" t="s">
        <v>22</v>
      </c>
      <c r="J106" s="21">
        <v>3.102144E7</v>
      </c>
      <c r="K106" s="21">
        <v>3.203425948E9</v>
      </c>
      <c r="L106" s="19" t="s">
        <v>111</v>
      </c>
      <c r="M106" s="20" t="s">
        <v>295</v>
      </c>
      <c r="N106" s="20" t="s">
        <v>24</v>
      </c>
      <c r="O106" s="19" t="s">
        <v>117</v>
      </c>
      <c r="P106" s="19" t="s">
        <v>118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</row>
    <row r="107" ht="18.75" customHeight="1">
      <c r="A107" s="8" t="s">
        <v>16</v>
      </c>
      <c r="B107" s="154"/>
      <c r="C107" s="19" t="s">
        <v>285</v>
      </c>
      <c r="D107" s="88">
        <v>46046.0</v>
      </c>
      <c r="E107" s="166" t="s">
        <v>296</v>
      </c>
      <c r="F107" s="41" t="s">
        <v>55</v>
      </c>
      <c r="G107" s="64" t="s">
        <v>63</v>
      </c>
      <c r="H107" s="41" t="s">
        <v>98</v>
      </c>
      <c r="I107" s="68" t="s">
        <v>22</v>
      </c>
      <c r="J107" s="69">
        <v>1.122123778E9</v>
      </c>
      <c r="K107" s="69">
        <v>3.145493807E9</v>
      </c>
      <c r="L107" s="41"/>
      <c r="M107" s="67" t="s">
        <v>297</v>
      </c>
      <c r="N107" s="67" t="s">
        <v>24</v>
      </c>
      <c r="O107" s="41" t="s">
        <v>31</v>
      </c>
      <c r="P107" s="4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</row>
    <row r="108" ht="18.75" customHeight="1">
      <c r="A108" s="8" t="s">
        <v>16</v>
      </c>
      <c r="B108" s="154"/>
      <c r="C108" s="10"/>
      <c r="D108" s="11"/>
      <c r="E108" s="155"/>
      <c r="F108" s="167" t="s">
        <v>298</v>
      </c>
      <c r="G108" s="168"/>
      <c r="H108" s="156"/>
      <c r="I108" s="157"/>
      <c r="J108" s="158"/>
      <c r="K108" s="158"/>
      <c r="L108" s="156"/>
      <c r="M108" s="157"/>
      <c r="N108" s="156"/>
      <c r="O108" s="156"/>
      <c r="P108" s="156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</row>
    <row r="109" ht="18.75" customHeight="1">
      <c r="A109" s="8" t="s">
        <v>16</v>
      </c>
      <c r="B109" s="9"/>
      <c r="C109" s="10"/>
      <c r="D109" s="11"/>
      <c r="E109" s="12"/>
      <c r="F109" s="10"/>
      <c r="G109" s="10"/>
      <c r="H109" s="10"/>
      <c r="I109" s="13"/>
      <c r="J109" s="14"/>
      <c r="K109" s="14"/>
      <c r="L109" s="10"/>
      <c r="M109" s="13"/>
      <c r="N109" s="10"/>
      <c r="O109" s="10"/>
      <c r="P109" s="10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</row>
    <row r="110" ht="18.75" customHeight="1">
      <c r="A110" s="8" t="s">
        <v>16</v>
      </c>
      <c r="B110" s="9"/>
      <c r="C110" s="16" t="s">
        <v>100</v>
      </c>
      <c r="D110" s="88">
        <v>46048.0</v>
      </c>
      <c r="E110" s="169" t="s">
        <v>18</v>
      </c>
      <c r="F110" s="64" t="s">
        <v>299</v>
      </c>
      <c r="G110" s="65" t="s">
        <v>97</v>
      </c>
      <c r="H110" s="36" t="s">
        <v>300</v>
      </c>
      <c r="I110" s="68" t="s">
        <v>22</v>
      </c>
      <c r="J110" s="69">
        <v>1.0200364E7</v>
      </c>
      <c r="K110" s="69">
        <v>3.132684586E9</v>
      </c>
      <c r="L110" s="41"/>
      <c r="M110" s="105" t="s">
        <v>301</v>
      </c>
      <c r="N110" s="142" t="s">
        <v>24</v>
      </c>
      <c r="O110" s="41" t="s">
        <v>31</v>
      </c>
      <c r="P110" s="41"/>
      <c r="Q110" s="77"/>
      <c r="R110" s="77"/>
      <c r="S110" s="77"/>
      <c r="T110" s="77"/>
      <c r="U110" s="77"/>
      <c r="V110" s="77"/>
      <c r="W110" s="77"/>
      <c r="X110" s="77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77"/>
      <c r="BQ110" s="7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</row>
    <row r="111" ht="18.75" customHeight="1">
      <c r="A111" s="8" t="s">
        <v>16</v>
      </c>
      <c r="B111" s="144"/>
      <c r="C111" s="22" t="s">
        <v>100</v>
      </c>
      <c r="D111" s="137">
        <v>46048.0</v>
      </c>
      <c r="E111" s="24" t="s">
        <v>18</v>
      </c>
      <c r="F111" s="22" t="s">
        <v>55</v>
      </c>
      <c r="G111" s="171" t="s">
        <v>72</v>
      </c>
      <c r="H111" s="22" t="s">
        <v>101</v>
      </c>
      <c r="I111" s="25" t="s">
        <v>22</v>
      </c>
      <c r="J111" s="26">
        <v>7.9373716E7</v>
      </c>
      <c r="K111" s="26">
        <v>3.132547744E9</v>
      </c>
      <c r="L111" s="22"/>
      <c r="M111" s="28" t="s">
        <v>43</v>
      </c>
      <c r="N111" s="28" t="s">
        <v>43</v>
      </c>
      <c r="O111" s="22" t="s">
        <v>31</v>
      </c>
      <c r="P111" s="22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</row>
    <row r="112" ht="18.75" customHeight="1">
      <c r="A112" s="8" t="s">
        <v>16</v>
      </c>
      <c r="B112" s="172"/>
      <c r="C112" s="22" t="s">
        <v>100</v>
      </c>
      <c r="D112" s="137">
        <v>46048.0</v>
      </c>
      <c r="E112" s="24" t="s">
        <v>18</v>
      </c>
      <c r="F112" s="27" t="s">
        <v>79</v>
      </c>
      <c r="G112" s="173" t="s">
        <v>191</v>
      </c>
      <c r="H112" s="174" t="s">
        <v>302</v>
      </c>
      <c r="I112" s="28" t="s">
        <v>303</v>
      </c>
      <c r="J112" s="175">
        <v>7.2273785E7</v>
      </c>
      <c r="K112" s="174">
        <v>3.172980064E9</v>
      </c>
      <c r="L112" s="27" t="s">
        <v>304</v>
      </c>
      <c r="M112" s="28" t="s">
        <v>43</v>
      </c>
      <c r="N112" s="28" t="s">
        <v>43</v>
      </c>
      <c r="O112" s="27" t="s">
        <v>220</v>
      </c>
      <c r="P112" s="22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</row>
    <row r="113" ht="18.75" customHeight="1">
      <c r="A113" s="8" t="s">
        <v>16</v>
      </c>
      <c r="B113" s="154"/>
      <c r="C113" s="16" t="s">
        <v>100</v>
      </c>
      <c r="D113" s="88">
        <v>46048.0</v>
      </c>
      <c r="E113" s="18" t="s">
        <v>305</v>
      </c>
      <c r="F113" s="16" t="s">
        <v>55</v>
      </c>
      <c r="G113" s="18" t="s">
        <v>48</v>
      </c>
      <c r="H113" s="16" t="s">
        <v>175</v>
      </c>
      <c r="I113" s="30" t="s">
        <v>22</v>
      </c>
      <c r="J113" s="31">
        <v>4.0362231E7</v>
      </c>
      <c r="K113" s="31">
        <v>3.134901744E9</v>
      </c>
      <c r="L113" s="16"/>
      <c r="M113" s="20" t="s">
        <v>306</v>
      </c>
      <c r="N113" s="142" t="s">
        <v>24</v>
      </c>
      <c r="O113" s="16" t="s">
        <v>113</v>
      </c>
      <c r="P113" s="16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</row>
    <row r="114" ht="18.75" customHeight="1">
      <c r="A114" s="8" t="s">
        <v>16</v>
      </c>
      <c r="B114" s="176">
        <v>550000.0</v>
      </c>
      <c r="C114" s="16" t="s">
        <v>100</v>
      </c>
      <c r="D114" s="88">
        <v>46048.0</v>
      </c>
      <c r="E114" s="18" t="s">
        <v>305</v>
      </c>
      <c r="F114" s="177" t="s">
        <v>79</v>
      </c>
      <c r="G114" s="178" t="s">
        <v>72</v>
      </c>
      <c r="H114" s="179" t="s">
        <v>307</v>
      </c>
      <c r="I114" s="180" t="s">
        <v>22</v>
      </c>
      <c r="J114" s="180">
        <v>8.6065501E7</v>
      </c>
      <c r="K114" s="181">
        <v>3.115601937E9</v>
      </c>
      <c r="L114" s="182" t="s">
        <v>308</v>
      </c>
      <c r="M114" s="163" t="s">
        <v>309</v>
      </c>
      <c r="N114" s="142" t="s">
        <v>24</v>
      </c>
      <c r="O114" s="183" t="s">
        <v>92</v>
      </c>
      <c r="P114" s="177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  <c r="BT114" s="170"/>
      <c r="BU114" s="170"/>
      <c r="BV114" s="170"/>
      <c r="BW114" s="170"/>
      <c r="BX114" s="170"/>
      <c r="BY114" s="170"/>
      <c r="BZ114" s="170"/>
      <c r="CA114" s="170"/>
      <c r="CB114" s="170"/>
      <c r="CC114" s="170"/>
      <c r="CD114" s="170"/>
      <c r="CE114" s="170"/>
      <c r="CF114" s="170"/>
      <c r="CG114" s="170"/>
      <c r="CH114" s="170"/>
      <c r="CI114" s="170"/>
      <c r="CJ114" s="170"/>
      <c r="CK114" s="170"/>
      <c r="CL114" s="170"/>
      <c r="CM114" s="170"/>
      <c r="CN114" s="170"/>
      <c r="CO114" s="170"/>
      <c r="CP114" s="170"/>
      <c r="CQ114" s="170"/>
      <c r="CR114" s="170"/>
      <c r="CS114" s="170"/>
      <c r="CT114" s="170"/>
      <c r="CU114" s="170"/>
      <c r="CV114" s="170"/>
      <c r="CW114" s="170"/>
      <c r="CX114" s="170"/>
      <c r="CY114" s="170"/>
    </row>
    <row r="115" ht="18.75" customHeight="1">
      <c r="A115" s="8" t="s">
        <v>16</v>
      </c>
      <c r="B115" s="184">
        <v>150000.0</v>
      </c>
      <c r="C115" s="16" t="s">
        <v>100</v>
      </c>
      <c r="D115" s="88">
        <v>46048.0</v>
      </c>
      <c r="E115" s="18" t="s">
        <v>130</v>
      </c>
      <c r="F115" s="19" t="s">
        <v>262</v>
      </c>
      <c r="G115" s="18" t="s">
        <v>20</v>
      </c>
      <c r="H115" s="19" t="s">
        <v>310</v>
      </c>
      <c r="I115" s="20" t="s">
        <v>22</v>
      </c>
      <c r="J115" s="21">
        <v>4.0276622E7</v>
      </c>
      <c r="K115" s="21">
        <v>3.232847303E9</v>
      </c>
      <c r="L115" s="16"/>
      <c r="M115" s="20" t="s">
        <v>311</v>
      </c>
      <c r="N115" s="142" t="s">
        <v>24</v>
      </c>
      <c r="O115" s="19" t="s">
        <v>25</v>
      </c>
      <c r="P115" s="1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</row>
    <row r="116" ht="18.75" customHeight="1">
      <c r="A116" s="8" t="s">
        <v>16</v>
      </c>
      <c r="B116" s="185"/>
      <c r="C116" s="22" t="s">
        <v>100</v>
      </c>
      <c r="D116" s="137">
        <v>46048.0</v>
      </c>
      <c r="E116" s="80" t="s">
        <v>70</v>
      </c>
      <c r="F116" s="27" t="s">
        <v>312</v>
      </c>
      <c r="G116" s="80" t="s">
        <v>313</v>
      </c>
      <c r="H116" s="27" t="s">
        <v>188</v>
      </c>
      <c r="I116" s="28" t="s">
        <v>22</v>
      </c>
      <c r="J116" s="81">
        <v>4.0315402E7</v>
      </c>
      <c r="K116" s="81">
        <v>3.102380219E9</v>
      </c>
      <c r="L116" s="27" t="s">
        <v>314</v>
      </c>
      <c r="M116" s="28" t="s">
        <v>43</v>
      </c>
      <c r="N116" s="149" t="s">
        <v>43</v>
      </c>
      <c r="O116" s="27" t="s">
        <v>25</v>
      </c>
      <c r="P116" s="27" t="s">
        <v>118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</row>
    <row r="117" ht="18.75" customHeight="1">
      <c r="A117" s="8" t="s">
        <v>16</v>
      </c>
      <c r="B117" s="185"/>
      <c r="C117" s="22" t="s">
        <v>100</v>
      </c>
      <c r="D117" s="137">
        <v>46048.0</v>
      </c>
      <c r="E117" s="80" t="s">
        <v>70</v>
      </c>
      <c r="F117" s="27" t="s">
        <v>262</v>
      </c>
      <c r="G117" s="80" t="s">
        <v>20</v>
      </c>
      <c r="H117" s="27" t="s">
        <v>315</v>
      </c>
      <c r="I117" s="28" t="s">
        <v>22</v>
      </c>
      <c r="J117" s="28">
        <v>1.726739E7</v>
      </c>
      <c r="K117" s="81">
        <v>3.219166067E9</v>
      </c>
      <c r="L117" s="186" t="s">
        <v>316</v>
      </c>
      <c r="M117" s="187" t="s">
        <v>43</v>
      </c>
      <c r="N117" s="149" t="s">
        <v>43</v>
      </c>
      <c r="O117" s="186" t="s">
        <v>220</v>
      </c>
      <c r="P117" s="2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</row>
    <row r="118" ht="18.75" customHeight="1">
      <c r="A118" s="8" t="s">
        <v>16</v>
      </c>
      <c r="B118" s="9"/>
      <c r="C118" s="16" t="s">
        <v>100</v>
      </c>
      <c r="D118" s="88">
        <v>46048.0</v>
      </c>
      <c r="E118" s="18" t="s">
        <v>201</v>
      </c>
      <c r="F118" s="19" t="s">
        <v>317</v>
      </c>
      <c r="G118" s="18" t="s">
        <v>97</v>
      </c>
      <c r="H118" s="19" t="s">
        <v>110</v>
      </c>
      <c r="I118" s="20" t="s">
        <v>22</v>
      </c>
      <c r="J118" s="21">
        <v>4.0404571E7</v>
      </c>
      <c r="K118" s="21">
        <v>3.208087997E9</v>
      </c>
      <c r="L118" s="19" t="s">
        <v>111</v>
      </c>
      <c r="M118" s="60" t="s">
        <v>318</v>
      </c>
      <c r="N118" s="188" t="s">
        <v>24</v>
      </c>
      <c r="O118" s="79" t="s">
        <v>113</v>
      </c>
      <c r="P118" s="1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</row>
    <row r="119" ht="18.75" customHeight="1">
      <c r="A119" s="8" t="s">
        <v>16</v>
      </c>
      <c r="B119" s="189">
        <v>550000.0</v>
      </c>
      <c r="C119" s="16" t="s">
        <v>100</v>
      </c>
      <c r="D119" s="88">
        <v>46048.0</v>
      </c>
      <c r="E119" s="18" t="s">
        <v>319</v>
      </c>
      <c r="F119" s="16" t="s">
        <v>55</v>
      </c>
      <c r="G119" s="18" t="s">
        <v>215</v>
      </c>
      <c r="H119" s="19" t="s">
        <v>320</v>
      </c>
      <c r="I119" s="20" t="s">
        <v>22</v>
      </c>
      <c r="J119" s="21">
        <v>1.7315725E7</v>
      </c>
      <c r="K119" s="21">
        <v>3.115115949E9</v>
      </c>
      <c r="L119" s="19" t="s">
        <v>321</v>
      </c>
      <c r="M119" s="60" t="s">
        <v>322</v>
      </c>
      <c r="N119" s="188" t="s">
        <v>24</v>
      </c>
      <c r="O119" s="16" t="s">
        <v>31</v>
      </c>
      <c r="P119" s="16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</row>
    <row r="120" ht="18.75" customHeight="1">
      <c r="A120" s="8" t="s">
        <v>16</v>
      </c>
      <c r="B120" s="144"/>
      <c r="C120" s="22" t="s">
        <v>100</v>
      </c>
      <c r="D120" s="190">
        <v>550000.0</v>
      </c>
      <c r="E120" s="80" t="s">
        <v>319</v>
      </c>
      <c r="F120" s="22" t="s">
        <v>55</v>
      </c>
      <c r="G120" s="80" t="s">
        <v>215</v>
      </c>
      <c r="H120" s="27" t="s">
        <v>323</v>
      </c>
      <c r="I120" s="28" t="s">
        <v>22</v>
      </c>
      <c r="J120" s="81">
        <v>5.2197919E7</v>
      </c>
      <c r="K120" s="81">
        <v>3.142035992E9</v>
      </c>
      <c r="L120" s="191" t="s">
        <v>324</v>
      </c>
      <c r="M120" s="187" t="s">
        <v>43</v>
      </c>
      <c r="N120" s="149" t="s">
        <v>43</v>
      </c>
      <c r="O120" s="191" t="s">
        <v>31</v>
      </c>
      <c r="P120" s="22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</row>
    <row r="121" ht="18.75" customHeight="1">
      <c r="A121" s="8" t="s">
        <v>16</v>
      </c>
      <c r="B121" s="9"/>
      <c r="C121" s="10"/>
      <c r="D121" s="11"/>
      <c r="E121" s="12"/>
      <c r="F121" s="156"/>
      <c r="G121" s="10"/>
      <c r="H121" s="10"/>
      <c r="I121" s="13"/>
      <c r="J121" s="14"/>
      <c r="K121" s="14"/>
      <c r="L121" s="192"/>
      <c r="M121" s="113"/>
      <c r="N121" s="10"/>
      <c r="O121" s="192"/>
      <c r="P121" s="10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</row>
    <row r="122" ht="18.75" customHeight="1">
      <c r="A122" s="8" t="s">
        <v>16</v>
      </c>
      <c r="B122" s="172"/>
      <c r="C122" s="19" t="s">
        <v>141</v>
      </c>
      <c r="D122" s="88">
        <v>46049.0</v>
      </c>
      <c r="E122" s="160" t="s">
        <v>325</v>
      </c>
      <c r="F122" s="58" t="s">
        <v>326</v>
      </c>
      <c r="G122" s="19" t="s">
        <v>97</v>
      </c>
      <c r="H122" s="58" t="s">
        <v>287</v>
      </c>
      <c r="I122" s="161" t="s">
        <v>22</v>
      </c>
      <c r="J122" s="162">
        <v>8.6075637E7</v>
      </c>
      <c r="K122" s="162">
        <v>3.114643266E9</v>
      </c>
      <c r="L122" s="58"/>
      <c r="M122" s="163" t="s">
        <v>327</v>
      </c>
      <c r="N122" s="161" t="s">
        <v>24</v>
      </c>
      <c r="O122" s="58" t="s">
        <v>31</v>
      </c>
      <c r="P122" s="16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</row>
    <row r="123" ht="18.75" customHeight="1">
      <c r="A123" s="8" t="s">
        <v>16</v>
      </c>
      <c r="B123" s="165">
        <v>240000.0</v>
      </c>
      <c r="C123" s="19" t="s">
        <v>141</v>
      </c>
      <c r="D123" s="88">
        <v>46049.0</v>
      </c>
      <c r="E123" s="160" t="s">
        <v>325</v>
      </c>
      <c r="F123" s="58" t="s">
        <v>328</v>
      </c>
      <c r="G123" s="65" t="s">
        <v>20</v>
      </c>
      <c r="H123" s="58" t="s">
        <v>329</v>
      </c>
      <c r="I123" s="161" t="s">
        <v>22</v>
      </c>
      <c r="J123" s="162">
        <v>8.6075637E7</v>
      </c>
      <c r="K123" s="162">
        <v>3.114643266E9</v>
      </c>
      <c r="L123" s="164"/>
      <c r="M123" s="161" t="s">
        <v>330</v>
      </c>
      <c r="N123" s="161" t="s">
        <v>24</v>
      </c>
      <c r="O123" s="58" t="s">
        <v>31</v>
      </c>
      <c r="P123" s="16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</row>
    <row r="124" ht="18.75" customHeight="1">
      <c r="A124" s="8" t="s">
        <v>16</v>
      </c>
      <c r="B124" s="9"/>
      <c r="C124" s="19" t="s">
        <v>141</v>
      </c>
      <c r="D124" s="88">
        <v>46049.0</v>
      </c>
      <c r="E124" s="160" t="s">
        <v>325</v>
      </c>
      <c r="F124" s="16" t="s">
        <v>55</v>
      </c>
      <c r="G124" s="19" t="s">
        <v>97</v>
      </c>
      <c r="H124" s="16" t="s">
        <v>123</v>
      </c>
      <c r="I124" s="30" t="s">
        <v>22</v>
      </c>
      <c r="J124" s="31">
        <v>4.0027131E7</v>
      </c>
      <c r="K124" s="31">
        <v>3.204080587E9</v>
      </c>
      <c r="L124" s="16"/>
      <c r="M124" s="20" t="s">
        <v>331</v>
      </c>
      <c r="N124" s="20" t="s">
        <v>24</v>
      </c>
      <c r="O124" s="16" t="s">
        <v>25</v>
      </c>
      <c r="P124" s="1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</row>
    <row r="125" ht="18.75" customHeight="1">
      <c r="A125" s="8" t="s">
        <v>16</v>
      </c>
      <c r="B125" s="165">
        <v>550000.0</v>
      </c>
      <c r="C125" s="19" t="s">
        <v>141</v>
      </c>
      <c r="D125" s="88">
        <v>46049.0</v>
      </c>
      <c r="E125" s="193" t="s">
        <v>83</v>
      </c>
      <c r="F125" s="16" t="s">
        <v>55</v>
      </c>
      <c r="G125" s="65" t="s">
        <v>332</v>
      </c>
      <c r="H125" s="90" t="s">
        <v>333</v>
      </c>
      <c r="I125" s="75" t="s">
        <v>22</v>
      </c>
      <c r="J125" s="66">
        <v>4.0449497E7</v>
      </c>
      <c r="K125" s="66">
        <v>3.105821538E9</v>
      </c>
      <c r="L125" s="194"/>
      <c r="M125" s="67" t="s">
        <v>334</v>
      </c>
      <c r="N125" s="161" t="s">
        <v>24</v>
      </c>
      <c r="O125" s="65" t="s">
        <v>51</v>
      </c>
      <c r="P125" s="16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</row>
    <row r="126" ht="18.75" customHeight="1">
      <c r="A126" s="8" t="s">
        <v>16</v>
      </c>
      <c r="B126" s="195"/>
      <c r="C126" s="27" t="s">
        <v>141</v>
      </c>
      <c r="D126" s="137">
        <v>46049.0</v>
      </c>
      <c r="E126" s="196" t="s">
        <v>305</v>
      </c>
      <c r="F126" s="197" t="s">
        <v>326</v>
      </c>
      <c r="G126" s="86" t="s">
        <v>335</v>
      </c>
      <c r="H126" s="196" t="s">
        <v>154</v>
      </c>
      <c r="I126" s="50" t="s">
        <v>22</v>
      </c>
      <c r="J126" s="198">
        <v>8.608541E7</v>
      </c>
      <c r="K126" s="198">
        <v>3.214312836E9</v>
      </c>
      <c r="L126" s="199" t="s">
        <v>336</v>
      </c>
      <c r="M126" s="200"/>
      <c r="N126" s="201" t="s">
        <v>24</v>
      </c>
      <c r="O126" s="56" t="s">
        <v>31</v>
      </c>
      <c r="P126" s="22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</row>
    <row r="127" ht="18.75" customHeight="1">
      <c r="A127" s="8" t="s">
        <v>16</v>
      </c>
      <c r="B127" s="165">
        <v>550000.0</v>
      </c>
      <c r="C127" s="19" t="s">
        <v>141</v>
      </c>
      <c r="D127" s="88">
        <v>46049.0</v>
      </c>
      <c r="E127" s="18" t="s">
        <v>83</v>
      </c>
      <c r="F127" s="58" t="s">
        <v>55</v>
      </c>
      <c r="G127" s="65" t="s">
        <v>20</v>
      </c>
      <c r="H127" s="19" t="s">
        <v>337</v>
      </c>
      <c r="I127" s="20" t="s">
        <v>22</v>
      </c>
      <c r="J127" s="21">
        <v>7.9126376E7</v>
      </c>
      <c r="K127" s="21">
        <v>3.208355226E9</v>
      </c>
      <c r="L127" s="79"/>
      <c r="M127" s="60" t="s">
        <v>338</v>
      </c>
      <c r="N127" s="20" t="s">
        <v>24</v>
      </c>
      <c r="O127" s="16" t="s">
        <v>25</v>
      </c>
      <c r="P127" s="16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</row>
    <row r="128" ht="18.75" customHeight="1">
      <c r="A128" s="202" t="s">
        <v>16</v>
      </c>
      <c r="B128" s="165">
        <v>115000.0</v>
      </c>
      <c r="C128" s="76" t="s">
        <v>141</v>
      </c>
      <c r="D128" s="203">
        <v>46049.0</v>
      </c>
      <c r="E128" s="204" t="s">
        <v>208</v>
      </c>
      <c r="F128" s="64" t="s">
        <v>339</v>
      </c>
      <c r="G128" s="73" t="s">
        <v>63</v>
      </c>
      <c r="H128" s="73" t="s">
        <v>178</v>
      </c>
      <c r="I128" s="119" t="s">
        <v>22</v>
      </c>
      <c r="J128" s="74">
        <v>1.057015158E9</v>
      </c>
      <c r="K128" s="74">
        <v>3.124092463E9</v>
      </c>
      <c r="L128" s="90" t="s">
        <v>340</v>
      </c>
      <c r="M128" s="94" t="s">
        <v>341</v>
      </c>
      <c r="N128" s="205" t="s">
        <v>24</v>
      </c>
      <c r="O128" s="73" t="s">
        <v>51</v>
      </c>
      <c r="P128" s="41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</row>
    <row r="129" ht="18.75" customHeight="1">
      <c r="A129" s="8" t="s">
        <v>16</v>
      </c>
      <c r="B129" s="9"/>
      <c r="C129" s="19" t="s">
        <v>141</v>
      </c>
      <c r="D129" s="88">
        <v>46049.0</v>
      </c>
      <c r="E129" s="18" t="s">
        <v>182</v>
      </c>
      <c r="F129" s="58" t="s">
        <v>55</v>
      </c>
      <c r="G129" s="132" t="s">
        <v>97</v>
      </c>
      <c r="H129" s="19" t="s">
        <v>240</v>
      </c>
      <c r="I129" s="20" t="s">
        <v>22</v>
      </c>
      <c r="J129" s="21">
        <v>8.6041711E7</v>
      </c>
      <c r="K129" s="21">
        <v>3.112445402E9</v>
      </c>
      <c r="L129" s="19"/>
      <c r="M129" s="60" t="s">
        <v>342</v>
      </c>
      <c r="N129" s="20" t="s">
        <v>24</v>
      </c>
      <c r="O129" s="19" t="s">
        <v>31</v>
      </c>
      <c r="P129" s="16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</row>
    <row r="130" ht="18.75" customHeight="1">
      <c r="A130" s="8" t="s">
        <v>16</v>
      </c>
      <c r="B130" s="9"/>
      <c r="C130" s="19" t="s">
        <v>141</v>
      </c>
      <c r="D130" s="88">
        <v>46049.0</v>
      </c>
      <c r="E130" s="18" t="s">
        <v>182</v>
      </c>
      <c r="F130" s="16" t="s">
        <v>55</v>
      </c>
      <c r="G130" s="19" t="s">
        <v>343</v>
      </c>
      <c r="H130" s="19" t="s">
        <v>136</v>
      </c>
      <c r="I130" s="30" t="s">
        <v>22</v>
      </c>
      <c r="J130" s="21">
        <v>4.2546081E7</v>
      </c>
      <c r="K130" s="21">
        <v>3.21225942E9</v>
      </c>
      <c r="L130" s="16"/>
      <c r="M130" s="60" t="s">
        <v>344</v>
      </c>
      <c r="N130" s="20" t="s">
        <v>24</v>
      </c>
      <c r="O130" s="19" t="s">
        <v>113</v>
      </c>
      <c r="P130" s="16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</row>
    <row r="131" ht="18.75" customHeight="1">
      <c r="A131" s="8" t="s">
        <v>16</v>
      </c>
      <c r="B131" s="9"/>
      <c r="C131" s="124" t="s">
        <v>141</v>
      </c>
      <c r="D131" s="125">
        <v>46049.0</v>
      </c>
      <c r="E131" s="206" t="s">
        <v>46</v>
      </c>
      <c r="F131" s="127" t="s">
        <v>79</v>
      </c>
      <c r="G131" s="107" t="s">
        <v>97</v>
      </c>
      <c r="H131" s="124" t="s">
        <v>231</v>
      </c>
      <c r="I131" s="83" t="s">
        <v>232</v>
      </c>
      <c r="J131" s="128">
        <v>1264665.0</v>
      </c>
      <c r="K131" s="128">
        <v>3.046362182E9</v>
      </c>
      <c r="L131" s="124"/>
      <c r="M131" s="83"/>
      <c r="N131" s="83" t="s">
        <v>24</v>
      </c>
      <c r="O131" s="124" t="s">
        <v>31</v>
      </c>
      <c r="P131" s="12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</row>
    <row r="132" ht="18.75" customHeight="1">
      <c r="A132" s="8" t="s">
        <v>16</v>
      </c>
      <c r="B132" s="207">
        <v>190000.0</v>
      </c>
      <c r="C132" s="124" t="s">
        <v>141</v>
      </c>
      <c r="D132" s="125">
        <v>46049.0</v>
      </c>
      <c r="E132" s="206" t="s">
        <v>130</v>
      </c>
      <c r="F132" s="127" t="s">
        <v>79</v>
      </c>
      <c r="G132" s="208" t="s">
        <v>20</v>
      </c>
      <c r="H132" s="97" t="s">
        <v>345</v>
      </c>
      <c r="I132" s="209" t="s">
        <v>22</v>
      </c>
      <c r="J132" s="210">
        <v>1.0305495E8</v>
      </c>
      <c r="K132" s="210">
        <v>3.233249904E9</v>
      </c>
      <c r="L132" s="211" t="s">
        <v>346</v>
      </c>
      <c r="M132" s="101"/>
      <c r="N132" s="83" t="s">
        <v>24</v>
      </c>
      <c r="O132" s="97" t="s">
        <v>31</v>
      </c>
      <c r="P132" s="212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</row>
    <row r="133" ht="18.75" customHeight="1">
      <c r="A133" s="8" t="s">
        <v>16</v>
      </c>
      <c r="B133" s="207">
        <v>190000.0</v>
      </c>
      <c r="C133" s="124" t="s">
        <v>141</v>
      </c>
      <c r="D133" s="125">
        <v>46049.0</v>
      </c>
      <c r="E133" s="206" t="s">
        <v>130</v>
      </c>
      <c r="F133" s="127" t="s">
        <v>79</v>
      </c>
      <c r="G133" s="208" t="s">
        <v>20</v>
      </c>
      <c r="H133" s="97" t="s">
        <v>347</v>
      </c>
      <c r="I133" s="209" t="s">
        <v>22</v>
      </c>
      <c r="J133" s="210">
        <v>5859049.0</v>
      </c>
      <c r="K133" s="210">
        <v>3.233249904E9</v>
      </c>
      <c r="L133" s="213"/>
      <c r="M133" s="101"/>
      <c r="N133" s="83" t="s">
        <v>24</v>
      </c>
      <c r="O133" s="97" t="s">
        <v>31</v>
      </c>
      <c r="P133" s="212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</row>
    <row r="134" ht="18.75" customHeight="1">
      <c r="A134" s="8" t="s">
        <v>16</v>
      </c>
      <c r="B134" s="9"/>
      <c r="C134" s="124" t="s">
        <v>141</v>
      </c>
      <c r="D134" s="125">
        <v>46049.0</v>
      </c>
      <c r="E134" s="214" t="s">
        <v>133</v>
      </c>
      <c r="F134" s="215" t="s">
        <v>79</v>
      </c>
      <c r="G134" s="97" t="s">
        <v>63</v>
      </c>
      <c r="H134" s="215" t="s">
        <v>156</v>
      </c>
      <c r="I134" s="99" t="s">
        <v>22</v>
      </c>
      <c r="J134" s="216">
        <v>366850.0</v>
      </c>
      <c r="K134" s="216">
        <v>3.005717556E9</v>
      </c>
      <c r="L134" s="213" t="s">
        <v>157</v>
      </c>
      <c r="M134" s="101"/>
      <c r="N134" s="83" t="s">
        <v>24</v>
      </c>
      <c r="O134" s="98" t="s">
        <v>31</v>
      </c>
      <c r="P134" s="10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</row>
    <row r="135" ht="18.75" customHeight="1">
      <c r="A135" s="8" t="s">
        <v>16</v>
      </c>
      <c r="B135" s="9"/>
      <c r="C135" s="124" t="s">
        <v>141</v>
      </c>
      <c r="D135" s="125">
        <v>46049.0</v>
      </c>
      <c r="E135" s="214" t="s">
        <v>133</v>
      </c>
      <c r="F135" s="215" t="s">
        <v>79</v>
      </c>
      <c r="G135" s="97" t="s">
        <v>348</v>
      </c>
      <c r="H135" s="215" t="s">
        <v>160</v>
      </c>
      <c r="I135" s="99" t="s">
        <v>22</v>
      </c>
      <c r="J135" s="216">
        <v>2.1228048E7</v>
      </c>
      <c r="K135" s="216">
        <v>3.005717556E9</v>
      </c>
      <c r="L135" s="101"/>
      <c r="M135" s="101"/>
      <c r="N135" s="83" t="s">
        <v>24</v>
      </c>
      <c r="O135" s="98" t="s">
        <v>31</v>
      </c>
      <c r="P135" s="10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</row>
    <row r="136" ht="18.75" customHeight="1">
      <c r="A136" s="8" t="s">
        <v>16</v>
      </c>
      <c r="B136" s="9"/>
      <c r="C136" s="124" t="s">
        <v>141</v>
      </c>
      <c r="D136" s="125">
        <v>46049.0</v>
      </c>
      <c r="E136" s="217" t="s">
        <v>70</v>
      </c>
      <c r="F136" s="98" t="s">
        <v>79</v>
      </c>
      <c r="G136" s="124" t="s">
        <v>97</v>
      </c>
      <c r="H136" s="98" t="s">
        <v>166</v>
      </c>
      <c r="I136" s="99" t="s">
        <v>22</v>
      </c>
      <c r="J136" s="100">
        <v>7.974802E7</v>
      </c>
      <c r="K136" s="100">
        <v>3.228510484E9</v>
      </c>
      <c r="L136" s="101"/>
      <c r="M136" s="103"/>
      <c r="N136" s="83" t="s">
        <v>24</v>
      </c>
      <c r="O136" s="98" t="s">
        <v>25</v>
      </c>
      <c r="P136" s="101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</row>
    <row r="137" ht="18.75" customHeight="1">
      <c r="A137" s="8" t="s">
        <v>16</v>
      </c>
      <c r="B137" s="72"/>
      <c r="C137" s="124" t="s">
        <v>141</v>
      </c>
      <c r="D137" s="125">
        <v>46049.0</v>
      </c>
      <c r="E137" s="217" t="s">
        <v>70</v>
      </c>
      <c r="F137" s="98" t="s">
        <v>168</v>
      </c>
      <c r="G137" s="97" t="s">
        <v>48</v>
      </c>
      <c r="H137" s="98" t="s">
        <v>169</v>
      </c>
      <c r="I137" s="99" t="s">
        <v>22</v>
      </c>
      <c r="J137" s="100">
        <v>1.032440145E9</v>
      </c>
      <c r="K137" s="100">
        <v>3.228510484E9</v>
      </c>
      <c r="L137" s="213" t="s">
        <v>170</v>
      </c>
      <c r="M137" s="103"/>
      <c r="N137" s="83" t="s">
        <v>24</v>
      </c>
      <c r="O137" s="98" t="s">
        <v>25</v>
      </c>
      <c r="P137" s="101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</row>
    <row r="138" ht="18.75" customHeight="1">
      <c r="A138" s="8" t="s">
        <v>16</v>
      </c>
      <c r="B138" s="9"/>
      <c r="C138" s="10"/>
      <c r="D138" s="11"/>
      <c r="E138" s="12"/>
      <c r="F138" s="10"/>
      <c r="G138" s="10"/>
      <c r="H138" s="10"/>
      <c r="I138" s="13"/>
      <c r="J138" s="14"/>
      <c r="K138" s="14"/>
      <c r="L138" s="10"/>
      <c r="M138" s="13"/>
      <c r="N138" s="10"/>
      <c r="O138" s="10"/>
      <c r="P138" s="10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</row>
    <row r="139" ht="18.75" customHeight="1">
      <c r="A139" s="8" t="s">
        <v>16</v>
      </c>
      <c r="B139" s="9"/>
      <c r="C139" s="127" t="s">
        <v>177</v>
      </c>
      <c r="D139" s="125">
        <v>46050.0</v>
      </c>
      <c r="E139" s="206" t="s">
        <v>18</v>
      </c>
      <c r="F139" s="124" t="s">
        <v>55</v>
      </c>
      <c r="G139" s="124" t="s">
        <v>97</v>
      </c>
      <c r="H139" s="124" t="s">
        <v>195</v>
      </c>
      <c r="I139" s="83" t="s">
        <v>22</v>
      </c>
      <c r="J139" s="128">
        <v>4.0392151E7</v>
      </c>
      <c r="K139" s="128">
        <v>3.132439369E9</v>
      </c>
      <c r="L139" s="124" t="s">
        <v>111</v>
      </c>
      <c r="M139" s="83"/>
      <c r="N139" s="83"/>
      <c r="O139" s="127" t="s">
        <v>31</v>
      </c>
      <c r="P139" s="12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</row>
    <row r="140" ht="18.75" customHeight="1">
      <c r="A140" s="8" t="s">
        <v>16</v>
      </c>
      <c r="B140" s="9"/>
      <c r="C140" s="127" t="s">
        <v>177</v>
      </c>
      <c r="D140" s="125">
        <v>46050.0</v>
      </c>
      <c r="E140" s="206" t="s">
        <v>83</v>
      </c>
      <c r="F140" s="124" t="s">
        <v>79</v>
      </c>
      <c r="G140" s="124" t="s">
        <v>97</v>
      </c>
      <c r="H140" s="124" t="s">
        <v>229</v>
      </c>
      <c r="I140" s="83" t="s">
        <v>22</v>
      </c>
      <c r="J140" s="128">
        <v>1.095510088E9</v>
      </c>
      <c r="K140" s="128">
        <v>3.172235083E9</v>
      </c>
      <c r="L140" s="124" t="s">
        <v>111</v>
      </c>
      <c r="M140" s="218"/>
      <c r="N140" s="218"/>
      <c r="O140" s="219" t="s">
        <v>82</v>
      </c>
      <c r="P140" s="127"/>
      <c r="Q140" s="82"/>
      <c r="R140" s="82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</row>
    <row r="141" ht="18.75" customHeight="1">
      <c r="A141" s="8" t="s">
        <v>16</v>
      </c>
      <c r="B141" s="9"/>
      <c r="C141" s="127" t="s">
        <v>177</v>
      </c>
      <c r="D141" s="125">
        <v>46050.0</v>
      </c>
      <c r="E141" s="206" t="s">
        <v>46</v>
      </c>
      <c r="F141" s="127" t="s">
        <v>55</v>
      </c>
      <c r="G141" s="124" t="s">
        <v>97</v>
      </c>
      <c r="H141" s="124" t="s">
        <v>84</v>
      </c>
      <c r="I141" s="83" t="s">
        <v>22</v>
      </c>
      <c r="J141" s="128">
        <v>1.8220928E7</v>
      </c>
      <c r="K141" s="128">
        <v>3.160549401E9</v>
      </c>
      <c r="L141" s="127"/>
      <c r="M141" s="220"/>
      <c r="N141" s="83"/>
      <c r="O141" s="127" t="s">
        <v>25</v>
      </c>
      <c r="P141" s="124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</row>
    <row r="142" ht="18.75" customHeight="1">
      <c r="A142" s="8" t="s">
        <v>16</v>
      </c>
      <c r="B142" s="9"/>
      <c r="C142" s="127" t="s">
        <v>177</v>
      </c>
      <c r="D142" s="125">
        <v>46050.0</v>
      </c>
      <c r="E142" s="206" t="s">
        <v>46</v>
      </c>
      <c r="F142" s="124" t="s">
        <v>349</v>
      </c>
      <c r="G142" s="124" t="s">
        <v>97</v>
      </c>
      <c r="H142" s="124" t="s">
        <v>235</v>
      </c>
      <c r="I142" s="83" t="s">
        <v>22</v>
      </c>
      <c r="J142" s="128">
        <v>4.0374299E7</v>
      </c>
      <c r="K142" s="128">
        <v>3.143310832E9</v>
      </c>
      <c r="L142" s="127"/>
      <c r="M142" s="83"/>
      <c r="N142" s="83"/>
      <c r="O142" s="124" t="s">
        <v>113</v>
      </c>
      <c r="P142" s="12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</row>
    <row r="143" ht="18.75" customHeight="1">
      <c r="A143" s="8" t="s">
        <v>16</v>
      </c>
      <c r="B143" s="9"/>
      <c r="C143" s="127" t="s">
        <v>177</v>
      </c>
      <c r="D143" s="125">
        <v>46050.0</v>
      </c>
      <c r="E143" s="206" t="s">
        <v>46</v>
      </c>
      <c r="F143" s="127" t="s">
        <v>55</v>
      </c>
      <c r="G143" s="124" t="s">
        <v>97</v>
      </c>
      <c r="H143" s="124" t="s">
        <v>87</v>
      </c>
      <c r="I143" s="83" t="s">
        <v>22</v>
      </c>
      <c r="J143" s="128">
        <v>2.3423635E7</v>
      </c>
      <c r="K143" s="128">
        <v>3.160549401E9</v>
      </c>
      <c r="L143" s="127"/>
      <c r="M143" s="220"/>
      <c r="N143" s="103"/>
      <c r="O143" s="127" t="s">
        <v>25</v>
      </c>
      <c r="P143" s="12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</row>
    <row r="144" ht="18.75" customHeight="1">
      <c r="A144" s="8" t="s">
        <v>16</v>
      </c>
      <c r="B144" s="9"/>
      <c r="C144" s="127" t="s">
        <v>177</v>
      </c>
      <c r="D144" s="125">
        <v>46050.0</v>
      </c>
      <c r="E144" s="206" t="s">
        <v>350</v>
      </c>
      <c r="F144" s="127" t="s">
        <v>248</v>
      </c>
      <c r="G144" s="124" t="s">
        <v>48</v>
      </c>
      <c r="H144" s="127" t="s">
        <v>198</v>
      </c>
      <c r="I144" s="220" t="s">
        <v>22</v>
      </c>
      <c r="J144" s="221">
        <v>2.1239441E7</v>
      </c>
      <c r="K144" s="221">
        <v>3.103457229E9</v>
      </c>
      <c r="L144" s="222">
        <v>3.134225528E9</v>
      </c>
      <c r="M144" s="83"/>
      <c r="N144" s="83"/>
      <c r="O144" s="127" t="s">
        <v>25</v>
      </c>
      <c r="P144" s="12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</row>
    <row r="145" ht="18.75" customHeight="1">
      <c r="A145" s="8" t="s">
        <v>16</v>
      </c>
      <c r="B145" s="9">
        <v>550000.0</v>
      </c>
      <c r="C145" s="127" t="s">
        <v>177</v>
      </c>
      <c r="D145" s="125">
        <v>46050.0</v>
      </c>
      <c r="E145" s="95" t="s">
        <v>182</v>
      </c>
      <c r="F145" s="98" t="s">
        <v>55</v>
      </c>
      <c r="G145" s="127" t="s">
        <v>72</v>
      </c>
      <c r="H145" s="98" t="s">
        <v>64</v>
      </c>
      <c r="I145" s="99" t="s">
        <v>22</v>
      </c>
      <c r="J145" s="100">
        <v>2.3495297E7</v>
      </c>
      <c r="K145" s="100">
        <v>3.202058357E9</v>
      </c>
      <c r="L145" s="101"/>
      <c r="M145" s="103"/>
      <c r="N145" s="103"/>
      <c r="O145" s="98" t="s">
        <v>31</v>
      </c>
      <c r="P145" s="10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</row>
    <row r="146" ht="18.75" customHeight="1">
      <c r="A146" s="8" t="s">
        <v>16</v>
      </c>
      <c r="B146" s="106">
        <v>150000.0</v>
      </c>
      <c r="C146" s="127" t="s">
        <v>177</v>
      </c>
      <c r="D146" s="125">
        <v>46050.0</v>
      </c>
      <c r="E146" s="223" t="s">
        <v>46</v>
      </c>
      <c r="F146" s="107" t="s">
        <v>351</v>
      </c>
      <c r="G146" s="107" t="s">
        <v>20</v>
      </c>
      <c r="H146" s="107" t="s">
        <v>352</v>
      </c>
      <c r="I146" s="111" t="s">
        <v>22</v>
      </c>
      <c r="J146" s="112">
        <v>4.0371236E7</v>
      </c>
      <c r="K146" s="112">
        <v>3.125614547E9</v>
      </c>
      <c r="L146" s="10"/>
      <c r="M146" s="13"/>
      <c r="N146" s="107" t="s">
        <v>24</v>
      </c>
      <c r="O146" s="107" t="s">
        <v>220</v>
      </c>
      <c r="P146" s="10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</row>
    <row r="147" ht="18.75" customHeight="1">
      <c r="A147" s="8" t="s">
        <v>16</v>
      </c>
      <c r="B147" s="207">
        <v>120000.0</v>
      </c>
      <c r="C147" s="127" t="s">
        <v>177</v>
      </c>
      <c r="D147" s="125">
        <v>46050.0</v>
      </c>
      <c r="E147" s="206" t="s">
        <v>126</v>
      </c>
      <c r="F147" s="224" t="s">
        <v>353</v>
      </c>
      <c r="G147" s="212" t="s">
        <v>20</v>
      </c>
      <c r="H147" s="124" t="s">
        <v>337</v>
      </c>
      <c r="I147" s="83" t="s">
        <v>22</v>
      </c>
      <c r="J147" s="128">
        <v>7.9126376E7</v>
      </c>
      <c r="K147" s="128">
        <v>3.208355226E9</v>
      </c>
      <c r="L147" s="225"/>
      <c r="M147" s="226"/>
      <c r="N147" s="83"/>
      <c r="O147" s="127" t="s">
        <v>25</v>
      </c>
      <c r="P147" s="12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</row>
    <row r="148" ht="18.75" customHeight="1">
      <c r="A148" s="8" t="s">
        <v>16</v>
      </c>
      <c r="B148" s="9"/>
      <c r="C148" s="10"/>
      <c r="D148" s="11"/>
      <c r="E148" s="12"/>
      <c r="F148" s="10"/>
      <c r="G148" s="10"/>
      <c r="H148" s="10"/>
      <c r="I148" s="13"/>
      <c r="J148" s="14"/>
      <c r="K148" s="14"/>
      <c r="L148" s="10"/>
      <c r="M148" s="13"/>
      <c r="N148" s="10"/>
      <c r="O148" s="10"/>
      <c r="P148" s="10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</row>
    <row r="149" ht="18.75" customHeight="1">
      <c r="A149" s="8" t="s">
        <v>16</v>
      </c>
      <c r="B149" s="9">
        <v>550000.0</v>
      </c>
      <c r="C149" s="124" t="s">
        <v>207</v>
      </c>
      <c r="D149" s="227">
        <v>46051.0</v>
      </c>
      <c r="E149" s="223" t="s">
        <v>46</v>
      </c>
      <c r="F149" s="107" t="s">
        <v>55</v>
      </c>
      <c r="G149" s="107" t="s">
        <v>72</v>
      </c>
      <c r="H149" s="228" t="s">
        <v>354</v>
      </c>
      <c r="I149" s="111" t="s">
        <v>22</v>
      </c>
      <c r="J149" s="228">
        <v>8.6041985E7</v>
      </c>
      <c r="K149" s="228">
        <v>3.504400468E9</v>
      </c>
      <c r="L149" s="10"/>
      <c r="M149" s="13"/>
      <c r="N149" s="10"/>
      <c r="O149" s="107" t="s">
        <v>220</v>
      </c>
      <c r="P149" s="10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</row>
    <row r="150" ht="18.75" customHeight="1">
      <c r="A150" s="8" t="s">
        <v>16</v>
      </c>
      <c r="B150" s="9"/>
      <c r="C150" s="124" t="s">
        <v>207</v>
      </c>
      <c r="D150" s="227">
        <v>46051.0</v>
      </c>
      <c r="E150" s="206" t="s">
        <v>355</v>
      </c>
      <c r="F150" s="124" t="s">
        <v>55</v>
      </c>
      <c r="G150" s="124" t="s">
        <v>97</v>
      </c>
      <c r="H150" s="124" t="s">
        <v>192</v>
      </c>
      <c r="I150" s="83" t="s">
        <v>22</v>
      </c>
      <c r="J150" s="128">
        <v>5.2079327E7</v>
      </c>
      <c r="K150" s="128">
        <v>3.150561674E9</v>
      </c>
      <c r="L150" s="127"/>
      <c r="M150" s="220"/>
      <c r="N150" s="83"/>
      <c r="O150" s="127" t="s">
        <v>31</v>
      </c>
      <c r="P150" s="12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</row>
    <row r="151" ht="18.75" customHeight="1">
      <c r="A151" s="8" t="s">
        <v>16</v>
      </c>
      <c r="B151" s="9"/>
      <c r="C151" s="124" t="s">
        <v>207</v>
      </c>
      <c r="D151" s="227">
        <v>46051.0</v>
      </c>
      <c r="E151" s="206" t="s">
        <v>355</v>
      </c>
      <c r="F151" s="124" t="s">
        <v>55</v>
      </c>
      <c r="G151" s="124" t="s">
        <v>97</v>
      </c>
      <c r="H151" s="124" t="s">
        <v>218</v>
      </c>
      <c r="I151" s="83" t="s">
        <v>22</v>
      </c>
      <c r="J151" s="128">
        <v>1.4198511E7</v>
      </c>
      <c r="K151" s="128">
        <v>3.115751375E9</v>
      </c>
      <c r="L151" s="229"/>
      <c r="M151" s="230"/>
      <c r="N151" s="218"/>
      <c r="O151" s="219" t="s">
        <v>220</v>
      </c>
      <c r="P151" s="12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</row>
    <row r="152" ht="18.75" customHeight="1">
      <c r="A152" s="8" t="s">
        <v>16</v>
      </c>
      <c r="B152" s="9">
        <v>550000.0</v>
      </c>
      <c r="C152" s="124" t="s">
        <v>207</v>
      </c>
      <c r="D152" s="227">
        <v>46051.0</v>
      </c>
      <c r="E152" s="206" t="s">
        <v>355</v>
      </c>
      <c r="F152" s="124" t="s">
        <v>55</v>
      </c>
      <c r="G152" s="127" t="s">
        <v>72</v>
      </c>
      <c r="H152" s="107" t="s">
        <v>356</v>
      </c>
      <c r="I152" s="111" t="s">
        <v>22</v>
      </c>
      <c r="J152" s="14"/>
      <c r="K152" s="128">
        <v>3.115751375E9</v>
      </c>
      <c r="L152" s="10"/>
      <c r="M152" s="13"/>
      <c r="N152" s="10"/>
      <c r="O152" s="219" t="s">
        <v>220</v>
      </c>
      <c r="P152" s="10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</row>
    <row r="153" ht="18.75" customHeight="1">
      <c r="A153" s="8" t="s">
        <v>16</v>
      </c>
      <c r="B153" s="9"/>
      <c r="C153" s="124" t="s">
        <v>207</v>
      </c>
      <c r="D153" s="227">
        <v>46051.0</v>
      </c>
      <c r="E153" s="206" t="s">
        <v>133</v>
      </c>
      <c r="F153" s="124" t="s">
        <v>55</v>
      </c>
      <c r="G153" s="124" t="s">
        <v>63</v>
      </c>
      <c r="H153" s="124" t="s">
        <v>21</v>
      </c>
      <c r="I153" s="83" t="s">
        <v>22</v>
      </c>
      <c r="J153" s="128">
        <v>2.1190537E7</v>
      </c>
      <c r="K153" s="128">
        <v>3.112274436E9</v>
      </c>
      <c r="L153" s="124" t="s">
        <v>357</v>
      </c>
      <c r="M153" s="220"/>
      <c r="N153" s="83"/>
      <c r="O153" s="127" t="s">
        <v>25</v>
      </c>
      <c r="P153" s="12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</row>
    <row r="154" ht="18.75" customHeight="1">
      <c r="A154" s="8" t="s">
        <v>16</v>
      </c>
      <c r="B154" s="9"/>
      <c r="C154" s="10"/>
      <c r="D154" s="11"/>
      <c r="E154" s="12"/>
      <c r="F154" s="10"/>
      <c r="G154" s="10"/>
      <c r="H154" s="10"/>
      <c r="I154" s="13"/>
      <c r="J154" s="14"/>
      <c r="K154" s="14"/>
      <c r="L154" s="10"/>
      <c r="M154" s="13"/>
      <c r="N154" s="10"/>
      <c r="O154" s="10"/>
      <c r="P154" s="10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</row>
    <row r="155" ht="18.75" customHeight="1">
      <c r="A155" s="8" t="s">
        <v>16</v>
      </c>
      <c r="B155" s="9"/>
      <c r="C155" s="124" t="s">
        <v>62</v>
      </c>
      <c r="D155" s="125">
        <v>46052.0</v>
      </c>
      <c r="E155" s="206" t="s">
        <v>83</v>
      </c>
      <c r="F155" s="124" t="s">
        <v>358</v>
      </c>
      <c r="G155" s="124" t="s">
        <v>97</v>
      </c>
      <c r="H155" s="127" t="s">
        <v>263</v>
      </c>
      <c r="I155" s="220" t="s">
        <v>22</v>
      </c>
      <c r="J155" s="221">
        <v>5.1927553E7</v>
      </c>
      <c r="K155" s="221">
        <v>3.164209798E9</v>
      </c>
      <c r="L155" s="124" t="s">
        <v>359</v>
      </c>
      <c r="M155" s="83"/>
      <c r="N155" s="83"/>
      <c r="O155" s="127" t="s">
        <v>31</v>
      </c>
      <c r="P155" s="12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</row>
    <row r="156" ht="18.75" customHeight="1">
      <c r="A156" s="231" t="s">
        <v>360</v>
      </c>
      <c r="B156" s="232">
        <v>150000.0</v>
      </c>
      <c r="C156" s="124" t="s">
        <v>62</v>
      </c>
      <c r="D156" s="125">
        <v>46052.0</v>
      </c>
      <c r="E156" s="233" t="s">
        <v>361</v>
      </c>
      <c r="F156" s="234" t="s">
        <v>262</v>
      </c>
      <c r="G156" s="235" t="s">
        <v>20</v>
      </c>
      <c r="H156" s="236" t="s">
        <v>315</v>
      </c>
      <c r="I156" s="237" t="s">
        <v>22</v>
      </c>
      <c r="J156" s="237">
        <v>1.726739E7</v>
      </c>
      <c r="K156" s="238">
        <v>3.219166067E9</v>
      </c>
      <c r="L156" s="239"/>
      <c r="M156" s="240"/>
      <c r="N156" s="241"/>
      <c r="O156" s="242" t="s">
        <v>220</v>
      </c>
      <c r="P156" s="12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</row>
    <row r="157" ht="18.75" customHeight="1">
      <c r="A157" s="8" t="s">
        <v>16</v>
      </c>
      <c r="B157" s="9"/>
      <c r="C157" s="124" t="s">
        <v>62</v>
      </c>
      <c r="D157" s="125">
        <v>46052.0</v>
      </c>
      <c r="E157" s="222" t="s">
        <v>133</v>
      </c>
      <c r="F157" s="124" t="s">
        <v>79</v>
      </c>
      <c r="G157" s="124" t="s">
        <v>48</v>
      </c>
      <c r="H157" s="127" t="s">
        <v>277</v>
      </c>
      <c r="I157" s="220" t="s">
        <v>22</v>
      </c>
      <c r="J157" s="221">
        <v>5.2541647E7</v>
      </c>
      <c r="K157" s="221">
        <v>3.225136367E9</v>
      </c>
      <c r="L157" s="243"/>
      <c r="M157" s="83"/>
      <c r="N157" s="83"/>
      <c r="O157" s="127" t="s">
        <v>25</v>
      </c>
      <c r="P157" s="12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</row>
    <row r="158" ht="18.75" customHeight="1">
      <c r="A158" s="8" t="s">
        <v>16</v>
      </c>
      <c r="B158" s="9"/>
      <c r="C158" s="124" t="s">
        <v>62</v>
      </c>
      <c r="D158" s="125">
        <v>46052.0</v>
      </c>
      <c r="E158" s="214" t="s">
        <v>70</v>
      </c>
      <c r="F158" s="224" t="s">
        <v>55</v>
      </c>
      <c r="G158" s="124" t="s">
        <v>63</v>
      </c>
      <c r="H158" s="124" t="s">
        <v>75</v>
      </c>
      <c r="I158" s="99" t="s">
        <v>22</v>
      </c>
      <c r="J158" s="128">
        <v>4.0394789E7</v>
      </c>
      <c r="K158" s="128">
        <v>3.133773422E9</v>
      </c>
      <c r="L158" s="127"/>
      <c r="M158" s="226"/>
      <c r="N158" s="83"/>
      <c r="O158" s="127" t="s">
        <v>25</v>
      </c>
      <c r="P158" s="12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</row>
    <row r="159" ht="18.75" customHeight="1">
      <c r="A159" s="8" t="s">
        <v>16</v>
      </c>
      <c r="B159" s="144">
        <v>550000.0</v>
      </c>
      <c r="C159" s="10" t="s">
        <v>62</v>
      </c>
      <c r="D159" s="108">
        <v>46052.0</v>
      </c>
      <c r="E159" s="244" t="s">
        <v>362</v>
      </c>
      <c r="F159" s="96" t="s">
        <v>146</v>
      </c>
      <c r="G159" s="96" t="s">
        <v>72</v>
      </c>
      <c r="H159" s="96" t="s">
        <v>283</v>
      </c>
      <c r="I159" s="245" t="s">
        <v>22</v>
      </c>
      <c r="J159" s="246">
        <v>1.5886977E7</v>
      </c>
      <c r="K159" s="246">
        <v>3.122857949E9</v>
      </c>
      <c r="L159" s="247" t="s">
        <v>284</v>
      </c>
      <c r="M159" s="248"/>
      <c r="N159" s="249"/>
      <c r="O159" s="96" t="s">
        <v>220</v>
      </c>
      <c r="P159" s="250"/>
      <c r="Q159" s="151"/>
      <c r="R159" s="136"/>
      <c r="S159" s="136"/>
      <c r="T159" s="136"/>
      <c r="U159" s="136"/>
      <c r="V159" s="136"/>
      <c r="W159" s="251">
        <v>46037.591875</v>
      </c>
      <c r="X159" s="252" t="s">
        <v>45</v>
      </c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  <c r="BP159" s="136"/>
      <c r="BQ159" s="136"/>
      <c r="BR159" s="136"/>
      <c r="BS159" s="136"/>
      <c r="BT159" s="136"/>
      <c r="BU159" s="136"/>
      <c r="BV159" s="136"/>
      <c r="BW159" s="136"/>
      <c r="BX159" s="136"/>
      <c r="BY159" s="136"/>
      <c r="BZ159" s="136"/>
      <c r="CA159" s="136"/>
      <c r="CB159" s="136"/>
      <c r="CC159" s="136"/>
      <c r="CD159" s="136"/>
      <c r="CE159" s="136"/>
      <c r="CF159" s="136"/>
      <c r="CG159" s="136"/>
      <c r="CH159" s="136"/>
      <c r="CI159" s="136"/>
      <c r="CJ159" s="136"/>
      <c r="CK159" s="136"/>
      <c r="CL159" s="136"/>
      <c r="CM159" s="136"/>
      <c r="CN159" s="136"/>
      <c r="CO159" s="136"/>
      <c r="CP159" s="136"/>
      <c r="CQ159" s="136"/>
      <c r="CR159" s="136"/>
      <c r="CS159" s="136"/>
      <c r="CT159" s="136"/>
      <c r="CU159" s="136"/>
      <c r="CV159" s="136"/>
      <c r="CW159" s="136"/>
      <c r="CX159" s="136"/>
      <c r="CY159" s="136"/>
    </row>
    <row r="160" ht="18.75" customHeight="1">
      <c r="A160" s="8" t="s">
        <v>16</v>
      </c>
      <c r="B160" s="154"/>
      <c r="C160" s="124" t="s">
        <v>62</v>
      </c>
      <c r="D160" s="125">
        <v>46052.0</v>
      </c>
      <c r="E160" s="206" t="s">
        <v>319</v>
      </c>
      <c r="F160" s="124" t="s">
        <v>363</v>
      </c>
      <c r="G160" s="124" t="s">
        <v>97</v>
      </c>
      <c r="H160" s="124" t="s">
        <v>320</v>
      </c>
      <c r="I160" s="83" t="s">
        <v>22</v>
      </c>
      <c r="J160" s="128">
        <v>1.7315725E7</v>
      </c>
      <c r="K160" s="128">
        <v>3.115115949E9</v>
      </c>
      <c r="L160" s="124" t="s">
        <v>321</v>
      </c>
      <c r="M160" s="226" t="s">
        <v>364</v>
      </c>
      <c r="N160" s="253"/>
      <c r="O160" s="127" t="s">
        <v>31</v>
      </c>
      <c r="P160" s="12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</row>
    <row r="161" ht="18.75" customHeight="1">
      <c r="A161" s="8" t="s">
        <v>16</v>
      </c>
      <c r="B161" s="154"/>
      <c r="C161" s="10"/>
      <c r="D161" s="11"/>
      <c r="E161" s="254"/>
      <c r="F161" s="156"/>
      <c r="G161" s="156"/>
      <c r="H161" s="156"/>
      <c r="I161" s="157"/>
      <c r="J161" s="158"/>
      <c r="K161" s="158"/>
      <c r="L161" s="156"/>
      <c r="M161" s="157"/>
      <c r="N161" s="156"/>
      <c r="O161" s="156"/>
      <c r="P161" s="156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</row>
    <row r="162" ht="18.75" customHeight="1">
      <c r="A162" s="8" t="s">
        <v>16</v>
      </c>
      <c r="B162" s="9">
        <v>150000.0</v>
      </c>
      <c r="C162" s="10" t="s">
        <v>285</v>
      </c>
      <c r="D162" s="11">
        <v>46053.0</v>
      </c>
      <c r="E162" s="223" t="s">
        <v>83</v>
      </c>
      <c r="F162" s="10" t="s">
        <v>142</v>
      </c>
      <c r="G162" s="10" t="s">
        <v>313</v>
      </c>
      <c r="H162" s="10" t="s">
        <v>365</v>
      </c>
      <c r="I162" s="13" t="s">
        <v>22</v>
      </c>
      <c r="J162" s="14">
        <v>1.095930129E9</v>
      </c>
      <c r="K162" s="14">
        <v>3.13262714E9</v>
      </c>
      <c r="L162" s="10"/>
      <c r="M162" s="13"/>
      <c r="N162" s="10"/>
      <c r="O162" s="10" t="s">
        <v>31</v>
      </c>
      <c r="P162" s="10"/>
      <c r="Q162" s="7"/>
      <c r="R162" s="7"/>
      <c r="S162" s="7"/>
      <c r="T162" s="7"/>
      <c r="U162" s="7"/>
      <c r="V162" s="7"/>
      <c r="W162" s="7">
        <v>46028.279594907406</v>
      </c>
      <c r="X162" s="7" t="s">
        <v>45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</row>
    <row r="163" ht="18.75" customHeight="1">
      <c r="A163" s="8" t="s">
        <v>16</v>
      </c>
      <c r="B163" s="106">
        <v>60000.0</v>
      </c>
      <c r="C163" s="10" t="s">
        <v>285</v>
      </c>
      <c r="D163" s="11">
        <v>46053.0</v>
      </c>
      <c r="E163" s="223" t="s">
        <v>83</v>
      </c>
      <c r="F163" s="124" t="s">
        <v>366</v>
      </c>
      <c r="G163" s="107" t="s">
        <v>20</v>
      </c>
      <c r="H163" s="127" t="s">
        <v>175</v>
      </c>
      <c r="I163" s="220" t="s">
        <v>22</v>
      </c>
      <c r="J163" s="221">
        <v>4.0362231E7</v>
      </c>
      <c r="K163" s="221">
        <v>3.134901744E9</v>
      </c>
      <c r="L163" s="127"/>
      <c r="M163" s="83"/>
      <c r="N163" s="255"/>
      <c r="O163" s="127" t="s">
        <v>113</v>
      </c>
      <c r="P163" s="127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  <c r="AK163" s="170"/>
      <c r="AL163" s="170"/>
      <c r="AM163" s="170"/>
      <c r="AN163" s="170"/>
      <c r="AO163" s="170"/>
      <c r="AP163" s="170"/>
      <c r="AQ163" s="170"/>
      <c r="AR163" s="170"/>
      <c r="AS163" s="170"/>
      <c r="AT163" s="170"/>
      <c r="AU163" s="170"/>
      <c r="AV163" s="170"/>
      <c r="AW163" s="170"/>
      <c r="AX163" s="170"/>
      <c r="AY163" s="170"/>
      <c r="AZ163" s="170"/>
      <c r="BA163" s="170"/>
      <c r="BB163" s="170"/>
      <c r="BC163" s="170"/>
      <c r="BD163" s="170"/>
      <c r="BE163" s="170"/>
      <c r="BF163" s="170"/>
      <c r="BG163" s="170"/>
      <c r="BH163" s="170"/>
      <c r="BI163" s="170"/>
      <c r="BJ163" s="170"/>
      <c r="BK163" s="170"/>
      <c r="BL163" s="170"/>
      <c r="BM163" s="170"/>
      <c r="BN163" s="170"/>
      <c r="BO163" s="170"/>
      <c r="BP163" s="170"/>
      <c r="BQ163" s="170"/>
      <c r="BR163" s="170"/>
      <c r="BS163" s="170"/>
      <c r="BT163" s="170"/>
      <c r="BU163" s="170"/>
      <c r="BV163" s="170"/>
      <c r="BW163" s="170"/>
      <c r="BX163" s="170"/>
      <c r="BY163" s="170"/>
      <c r="BZ163" s="170"/>
      <c r="CA163" s="170"/>
      <c r="CB163" s="170"/>
      <c r="CC163" s="170"/>
      <c r="CD163" s="170"/>
      <c r="CE163" s="170"/>
      <c r="CF163" s="170"/>
      <c r="CG163" s="170"/>
      <c r="CH163" s="170"/>
      <c r="CI163" s="170"/>
      <c r="CJ163" s="170"/>
      <c r="CK163" s="170"/>
      <c r="CL163" s="170"/>
      <c r="CM163" s="170"/>
      <c r="CN163" s="170"/>
      <c r="CO163" s="170"/>
      <c r="CP163" s="170"/>
      <c r="CQ163" s="170"/>
      <c r="CR163" s="170"/>
      <c r="CS163" s="170"/>
      <c r="CT163" s="170"/>
      <c r="CU163" s="170"/>
      <c r="CV163" s="170"/>
      <c r="CW163" s="170"/>
      <c r="CX163" s="170"/>
      <c r="CY163" s="170"/>
    </row>
    <row r="164" ht="18.75" customHeight="1">
      <c r="A164" s="8" t="s">
        <v>16</v>
      </c>
      <c r="B164" s="154"/>
      <c r="C164" s="10" t="s">
        <v>285</v>
      </c>
      <c r="D164" s="11">
        <v>46053.0</v>
      </c>
      <c r="E164" s="223" t="s">
        <v>83</v>
      </c>
      <c r="F164" s="256" t="s">
        <v>79</v>
      </c>
      <c r="G164" s="257" t="s">
        <v>97</v>
      </c>
      <c r="H164" s="258" t="s">
        <v>307</v>
      </c>
      <c r="I164" s="259" t="s">
        <v>22</v>
      </c>
      <c r="J164" s="259">
        <v>8.6065501E7</v>
      </c>
      <c r="K164" s="260">
        <v>3.115601937E9</v>
      </c>
      <c r="L164" s="261" t="s">
        <v>367</v>
      </c>
      <c r="M164" s="256"/>
      <c r="N164" s="256"/>
      <c r="O164" s="262" t="s">
        <v>92</v>
      </c>
      <c r="P164" s="256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0"/>
      <c r="AM164" s="170"/>
      <c r="AN164" s="170"/>
      <c r="AO164" s="170"/>
      <c r="AP164" s="170"/>
      <c r="AQ164" s="170"/>
      <c r="AR164" s="170"/>
      <c r="AS164" s="170"/>
      <c r="AT164" s="170"/>
      <c r="AU164" s="170"/>
      <c r="AV164" s="170"/>
      <c r="AW164" s="170"/>
      <c r="AX164" s="170"/>
      <c r="AY164" s="170"/>
      <c r="AZ164" s="170"/>
      <c r="BA164" s="170"/>
      <c r="BB164" s="170"/>
      <c r="BC164" s="170"/>
      <c r="BD164" s="170"/>
      <c r="BE164" s="170"/>
      <c r="BF164" s="170"/>
      <c r="BG164" s="170"/>
      <c r="BH164" s="170"/>
      <c r="BI164" s="170"/>
      <c r="BJ164" s="170"/>
      <c r="BK164" s="170"/>
      <c r="BL164" s="170"/>
      <c r="BM164" s="170"/>
      <c r="BN164" s="170"/>
      <c r="BO164" s="170"/>
      <c r="BP164" s="170"/>
      <c r="BQ164" s="170"/>
      <c r="BR164" s="170"/>
      <c r="BS164" s="170"/>
      <c r="BT164" s="170"/>
      <c r="BU164" s="170"/>
      <c r="BV164" s="170"/>
      <c r="BW164" s="170"/>
      <c r="BX164" s="170"/>
      <c r="BY164" s="170"/>
      <c r="BZ164" s="170"/>
      <c r="CA164" s="170"/>
      <c r="CB164" s="170"/>
      <c r="CC164" s="170"/>
      <c r="CD164" s="170"/>
      <c r="CE164" s="170"/>
      <c r="CF164" s="170"/>
      <c r="CG164" s="170"/>
      <c r="CH164" s="170"/>
      <c r="CI164" s="170"/>
      <c r="CJ164" s="170"/>
      <c r="CK164" s="170"/>
      <c r="CL164" s="170"/>
      <c r="CM164" s="170"/>
      <c r="CN164" s="170"/>
      <c r="CO164" s="170"/>
      <c r="CP164" s="170"/>
      <c r="CQ164" s="170"/>
      <c r="CR164" s="170"/>
      <c r="CS164" s="170"/>
      <c r="CT164" s="170"/>
      <c r="CU164" s="170"/>
      <c r="CV164" s="170"/>
      <c r="CW164" s="170"/>
      <c r="CX164" s="170"/>
      <c r="CY164" s="170"/>
    </row>
    <row r="165" ht="18.75" customHeight="1">
      <c r="A165" s="8" t="s">
        <v>16</v>
      </c>
      <c r="B165" s="9">
        <v>550000.0</v>
      </c>
      <c r="C165" s="10" t="s">
        <v>285</v>
      </c>
      <c r="D165" s="11">
        <v>46053.0</v>
      </c>
      <c r="E165" s="12" t="s">
        <v>182</v>
      </c>
      <c r="F165" s="124" t="s">
        <v>89</v>
      </c>
      <c r="G165" s="127" t="s">
        <v>72</v>
      </c>
      <c r="H165" s="127" t="s">
        <v>90</v>
      </c>
      <c r="I165" s="220" t="s">
        <v>22</v>
      </c>
      <c r="J165" s="221">
        <v>4.043799E7</v>
      </c>
      <c r="K165" s="221">
        <v>3.142461856E9</v>
      </c>
      <c r="L165" s="127" t="s">
        <v>91</v>
      </c>
      <c r="M165" s="83"/>
      <c r="N165" s="124"/>
      <c r="O165" s="127" t="s">
        <v>92</v>
      </c>
      <c r="P165" s="12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</row>
    <row r="166" ht="18.75" customHeight="1">
      <c r="A166" s="8" t="s">
        <v>16</v>
      </c>
      <c r="B166" s="9"/>
      <c r="C166" s="10" t="s">
        <v>285</v>
      </c>
      <c r="D166" s="11">
        <v>46053.0</v>
      </c>
      <c r="E166" s="206" t="s">
        <v>221</v>
      </c>
      <c r="F166" s="124" t="s">
        <v>368</v>
      </c>
      <c r="G166" s="124" t="s">
        <v>63</v>
      </c>
      <c r="H166" s="124" t="s">
        <v>115</v>
      </c>
      <c r="I166" s="220" t="s">
        <v>22</v>
      </c>
      <c r="J166" s="128">
        <v>3.102144E7</v>
      </c>
      <c r="K166" s="128">
        <v>3.203425948E9</v>
      </c>
      <c r="L166" s="124"/>
      <c r="M166" s="83"/>
      <c r="N166" s="83"/>
      <c r="O166" s="124" t="s">
        <v>117</v>
      </c>
      <c r="P166" s="124" t="s">
        <v>118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</row>
    <row r="167" ht="18.75" customHeight="1">
      <c r="A167" s="8" t="s">
        <v>16</v>
      </c>
      <c r="B167" s="9"/>
      <c r="C167" s="10" t="s">
        <v>285</v>
      </c>
      <c r="D167" s="11">
        <v>46053.0</v>
      </c>
      <c r="E167" s="263" t="s">
        <v>93</v>
      </c>
      <c r="F167" s="101" t="s">
        <v>55</v>
      </c>
      <c r="G167" s="97" t="s">
        <v>63</v>
      </c>
      <c r="H167" s="101" t="s">
        <v>98</v>
      </c>
      <c r="I167" s="264" t="s">
        <v>22</v>
      </c>
      <c r="J167" s="265">
        <v>1.122123778E9</v>
      </c>
      <c r="K167" s="265">
        <v>3.145493807E9</v>
      </c>
      <c r="L167" s="101"/>
      <c r="M167" s="264"/>
      <c r="N167" s="266"/>
      <c r="O167" s="101" t="s">
        <v>31</v>
      </c>
      <c r="P167" s="10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</row>
    <row r="168" ht="18.75" customHeight="1">
      <c r="A168" s="8" t="s">
        <v>16</v>
      </c>
      <c r="B168" s="9"/>
      <c r="C168" s="9"/>
      <c r="D168" s="9"/>
      <c r="E168" s="267"/>
      <c r="F168" s="185"/>
      <c r="G168" s="33"/>
      <c r="H168" s="9"/>
      <c r="I168" s="9"/>
      <c r="J168" s="71"/>
      <c r="K168" s="71"/>
      <c r="L168" s="9"/>
      <c r="M168" s="13"/>
      <c r="N168" s="10"/>
      <c r="O168" s="10"/>
      <c r="P168" s="10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</row>
    <row r="169" ht="18.75" customHeight="1">
      <c r="A169" s="268" t="s">
        <v>369</v>
      </c>
      <c r="B169" s="9"/>
      <c r="C169" s="127" t="s">
        <v>100</v>
      </c>
      <c r="D169" s="125">
        <v>46055.0</v>
      </c>
      <c r="E169" s="269" t="s">
        <v>208</v>
      </c>
      <c r="F169" s="215" t="s">
        <v>55</v>
      </c>
      <c r="G169" s="97" t="s">
        <v>48</v>
      </c>
      <c r="H169" s="215" t="s">
        <v>178</v>
      </c>
      <c r="I169" s="270" t="s">
        <v>22</v>
      </c>
      <c r="J169" s="216">
        <v>1.057015158E9</v>
      </c>
      <c r="K169" s="216">
        <v>3.124092463E9</v>
      </c>
      <c r="L169" s="271" t="s">
        <v>370</v>
      </c>
      <c r="M169" s="102"/>
      <c r="N169" s="272"/>
      <c r="O169" s="215" t="s">
        <v>51</v>
      </c>
      <c r="P169" s="10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</row>
    <row r="170" ht="18.75" customHeight="1">
      <c r="A170" s="268" t="s">
        <v>369</v>
      </c>
      <c r="B170" s="9"/>
      <c r="C170" s="127" t="s">
        <v>100</v>
      </c>
      <c r="D170" s="125">
        <v>46055.0</v>
      </c>
      <c r="E170" s="206" t="s">
        <v>201</v>
      </c>
      <c r="F170" s="124" t="s">
        <v>317</v>
      </c>
      <c r="G170" s="206" t="s">
        <v>63</v>
      </c>
      <c r="H170" s="124" t="s">
        <v>110</v>
      </c>
      <c r="I170" s="83" t="s">
        <v>22</v>
      </c>
      <c r="J170" s="128">
        <v>4.0404571E7</v>
      </c>
      <c r="K170" s="128">
        <v>3.208087997E9</v>
      </c>
      <c r="L170" s="124" t="s">
        <v>111</v>
      </c>
      <c r="M170" s="226"/>
      <c r="N170" s="253"/>
      <c r="O170" s="225" t="s">
        <v>113</v>
      </c>
      <c r="P170" s="12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</row>
    <row r="171" ht="18.75" customHeight="1">
      <c r="A171" s="268" t="s">
        <v>369</v>
      </c>
      <c r="B171" s="9"/>
      <c r="C171" s="9"/>
      <c r="D171" s="9"/>
      <c r="E171" s="267"/>
      <c r="F171" s="185"/>
      <c r="G171" s="33"/>
      <c r="H171" s="9"/>
      <c r="I171" s="9"/>
      <c r="J171" s="71"/>
      <c r="K171" s="71"/>
      <c r="L171" s="9"/>
      <c r="M171" s="113"/>
      <c r="N171" s="156"/>
      <c r="O171" s="192"/>
      <c r="P171" s="10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</row>
    <row r="172" ht="18.75" customHeight="1">
      <c r="A172" s="268" t="s">
        <v>369</v>
      </c>
      <c r="B172" s="9"/>
      <c r="C172" s="124" t="s">
        <v>141</v>
      </c>
      <c r="D172" s="125">
        <v>46056.0</v>
      </c>
      <c r="E172" s="206" t="s">
        <v>83</v>
      </c>
      <c r="F172" s="224" t="s">
        <v>55</v>
      </c>
      <c r="G172" s="257" t="s">
        <v>97</v>
      </c>
      <c r="H172" s="124" t="s">
        <v>337</v>
      </c>
      <c r="I172" s="83" t="s">
        <v>22</v>
      </c>
      <c r="J172" s="128">
        <v>7.9126376E7</v>
      </c>
      <c r="K172" s="128">
        <v>3.208355226E9</v>
      </c>
      <c r="L172" s="225"/>
      <c r="M172" s="226"/>
      <c r="N172" s="83"/>
      <c r="O172" s="127" t="s">
        <v>25</v>
      </c>
      <c r="P172" s="12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</row>
    <row r="173" ht="18.75" customHeight="1">
      <c r="A173" s="268" t="s">
        <v>369</v>
      </c>
      <c r="B173" s="9"/>
      <c r="C173" s="124" t="s">
        <v>141</v>
      </c>
      <c r="D173" s="125">
        <v>46056.0</v>
      </c>
      <c r="E173" s="206" t="s">
        <v>182</v>
      </c>
      <c r="F173" s="224" t="s">
        <v>55</v>
      </c>
      <c r="G173" s="212" t="s">
        <v>63</v>
      </c>
      <c r="H173" s="124" t="s">
        <v>240</v>
      </c>
      <c r="I173" s="83" t="s">
        <v>22</v>
      </c>
      <c r="J173" s="128">
        <v>8.6041711E7</v>
      </c>
      <c r="K173" s="128">
        <v>3.112445402E9</v>
      </c>
      <c r="L173" s="124"/>
      <c r="M173" s="226"/>
      <c r="N173" s="83"/>
      <c r="O173" s="124" t="s">
        <v>31</v>
      </c>
      <c r="P173" s="12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</row>
    <row r="174" ht="18.75" customHeight="1">
      <c r="A174" s="268" t="s">
        <v>369</v>
      </c>
      <c r="B174" s="9"/>
      <c r="C174" s="9"/>
      <c r="D174" s="9"/>
      <c r="E174" s="267"/>
      <c r="F174" s="185"/>
      <c r="G174" s="33"/>
      <c r="H174" s="9"/>
      <c r="I174" s="9"/>
      <c r="J174" s="71"/>
      <c r="K174" s="71"/>
      <c r="L174" s="9"/>
      <c r="M174" s="13"/>
      <c r="N174" s="10"/>
      <c r="O174" s="10"/>
      <c r="P174" s="10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</row>
    <row r="175" ht="18.75" customHeight="1">
      <c r="A175" s="268" t="s">
        <v>369</v>
      </c>
      <c r="B175" s="106">
        <v>550000.0</v>
      </c>
      <c r="C175" s="273" t="s">
        <v>62</v>
      </c>
      <c r="D175" s="274">
        <v>46059.0</v>
      </c>
      <c r="E175" s="275" t="s">
        <v>93</v>
      </c>
      <c r="F175" s="275" t="s">
        <v>248</v>
      </c>
      <c r="G175" s="185" t="s">
        <v>332</v>
      </c>
      <c r="H175" s="273" t="s">
        <v>371</v>
      </c>
      <c r="I175" s="9"/>
      <c r="J175" s="276">
        <v>1.7341547E7</v>
      </c>
      <c r="K175" s="277">
        <v>3.13233309E9</v>
      </c>
      <c r="L175" s="9"/>
      <c r="M175" s="13"/>
      <c r="N175" s="10"/>
      <c r="O175" s="107" t="s">
        <v>220</v>
      </c>
      <c r="P175" s="10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</row>
    <row r="176" ht="18.75" customHeight="1">
      <c r="A176" s="268" t="s">
        <v>369</v>
      </c>
      <c r="B176" s="9"/>
      <c r="C176" s="12"/>
      <c r="D176" s="11"/>
      <c r="E176" s="12"/>
      <c r="F176" s="10"/>
      <c r="G176" s="10"/>
      <c r="H176" s="10"/>
      <c r="I176" s="13"/>
      <c r="J176" s="14"/>
      <c r="K176" s="14"/>
      <c r="L176" s="10"/>
      <c r="M176" s="13"/>
      <c r="N176" s="10"/>
      <c r="O176" s="10"/>
      <c r="P176" s="10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</row>
    <row r="177" ht="18.75" customHeight="1">
      <c r="A177" s="268" t="s">
        <v>369</v>
      </c>
      <c r="B177" s="9"/>
      <c r="C177" s="206" t="s">
        <v>285</v>
      </c>
      <c r="D177" s="125">
        <v>46060.0</v>
      </c>
      <c r="E177" s="278" t="s">
        <v>182</v>
      </c>
      <c r="F177" s="127" t="s">
        <v>55</v>
      </c>
      <c r="G177" s="212" t="s">
        <v>97</v>
      </c>
      <c r="H177" s="271" t="s">
        <v>333</v>
      </c>
      <c r="I177" s="209" t="s">
        <v>22</v>
      </c>
      <c r="J177" s="279">
        <v>4.0449497E7</v>
      </c>
      <c r="K177" s="279">
        <v>3.105821538E9</v>
      </c>
      <c r="L177" s="280"/>
      <c r="M177" s="266"/>
      <c r="N177" s="281"/>
      <c r="O177" s="212" t="s">
        <v>51</v>
      </c>
      <c r="P177" s="12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</row>
    <row r="178" ht="18.75" customHeight="1">
      <c r="A178" s="268" t="s">
        <v>369</v>
      </c>
      <c r="B178" s="9"/>
      <c r="C178" s="206" t="s">
        <v>285</v>
      </c>
      <c r="D178" s="125">
        <v>46060.0</v>
      </c>
      <c r="E178" s="282" t="s">
        <v>296</v>
      </c>
      <c r="F178" s="101" t="s">
        <v>55</v>
      </c>
      <c r="G178" s="97" t="s">
        <v>48</v>
      </c>
      <c r="H178" s="101" t="s">
        <v>98</v>
      </c>
      <c r="I178" s="264" t="s">
        <v>22</v>
      </c>
      <c r="J178" s="265">
        <v>1.122123778E9</v>
      </c>
      <c r="K178" s="265">
        <v>3.145493807E9</v>
      </c>
      <c r="L178" s="101"/>
      <c r="M178" s="266"/>
      <c r="N178" s="266"/>
      <c r="O178" s="101" t="s">
        <v>31</v>
      </c>
      <c r="P178" s="10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</row>
    <row r="179" ht="18.75" customHeight="1">
      <c r="A179" s="268" t="s">
        <v>369</v>
      </c>
      <c r="B179" s="9"/>
      <c r="C179" s="12"/>
      <c r="D179" s="11"/>
      <c r="E179" s="12"/>
      <c r="F179" s="10"/>
      <c r="G179" s="10"/>
      <c r="H179" s="10"/>
      <c r="I179" s="13"/>
      <c r="J179" s="14"/>
      <c r="K179" s="14"/>
      <c r="L179" s="10"/>
      <c r="M179" s="13"/>
      <c r="N179" s="10"/>
      <c r="O179" s="10"/>
      <c r="P179" s="10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</row>
    <row r="180" ht="18.75" customHeight="1">
      <c r="A180" s="268" t="s">
        <v>369</v>
      </c>
      <c r="B180" s="9"/>
      <c r="C180" s="206" t="s">
        <v>62</v>
      </c>
      <c r="D180" s="125">
        <v>46066.0</v>
      </c>
      <c r="E180" s="283" t="s">
        <v>182</v>
      </c>
      <c r="F180" s="97" t="s">
        <v>299</v>
      </c>
      <c r="G180" s="212" t="s">
        <v>63</v>
      </c>
      <c r="H180" s="98" t="s">
        <v>300</v>
      </c>
      <c r="I180" s="264" t="s">
        <v>22</v>
      </c>
      <c r="J180" s="265">
        <v>1.0200364E7</v>
      </c>
      <c r="K180" s="265">
        <v>3.132684586E9</v>
      </c>
      <c r="L180" s="101"/>
      <c r="M180" s="255"/>
      <c r="N180" s="255"/>
      <c r="O180" s="101" t="s">
        <v>31</v>
      </c>
      <c r="P180" s="10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</row>
    <row r="181" ht="18.75" customHeight="1">
      <c r="A181" s="268" t="s">
        <v>369</v>
      </c>
      <c r="B181" s="9"/>
      <c r="C181" s="12"/>
      <c r="D181" s="11"/>
      <c r="E181" s="12"/>
      <c r="F181" s="10"/>
      <c r="G181" s="10"/>
      <c r="H181" s="10"/>
      <c r="I181" s="13"/>
      <c r="J181" s="14"/>
      <c r="K181" s="14"/>
      <c r="L181" s="10"/>
      <c r="M181" s="13"/>
      <c r="N181" s="10"/>
      <c r="O181" s="10"/>
      <c r="P181" s="10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</row>
    <row r="182" ht="18.75" customHeight="1">
      <c r="A182" s="268" t="s">
        <v>369</v>
      </c>
      <c r="B182" s="106">
        <v>550000.0</v>
      </c>
      <c r="C182" s="223" t="s">
        <v>372</v>
      </c>
      <c r="D182" s="108">
        <v>46070.0</v>
      </c>
      <c r="E182" s="223" t="s">
        <v>305</v>
      </c>
      <c r="F182" s="275" t="s">
        <v>248</v>
      </c>
      <c r="G182" s="127" t="s">
        <v>72</v>
      </c>
      <c r="H182" s="107" t="s">
        <v>373</v>
      </c>
      <c r="I182" s="111" t="s">
        <v>22</v>
      </c>
      <c r="J182" s="112">
        <v>4.0392966E7</v>
      </c>
      <c r="K182" s="112">
        <v>3.118070735E9</v>
      </c>
      <c r="L182" s="10"/>
      <c r="M182" s="13"/>
      <c r="N182" s="10"/>
      <c r="O182" s="124" t="s">
        <v>117</v>
      </c>
      <c r="P182" s="124" t="s">
        <v>118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</row>
    <row r="183" ht="18.75" customHeight="1">
      <c r="A183" s="268" t="s">
        <v>369</v>
      </c>
      <c r="B183" s="9"/>
      <c r="C183" s="10"/>
      <c r="D183" s="11"/>
      <c r="E183" s="12"/>
      <c r="F183" s="10"/>
      <c r="G183" s="10"/>
      <c r="H183" s="10"/>
      <c r="I183" s="13"/>
      <c r="J183" s="14"/>
      <c r="K183" s="14"/>
      <c r="L183" s="10"/>
      <c r="M183" s="13"/>
      <c r="N183" s="10"/>
      <c r="O183" s="10"/>
      <c r="P183" s="10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</row>
    <row r="184" ht="18.75" customHeight="1">
      <c r="A184" s="7"/>
      <c r="B184" s="284"/>
      <c r="C184" s="7"/>
      <c r="D184" s="285"/>
      <c r="E184" s="286"/>
      <c r="F184" s="7"/>
      <c r="G184" s="7"/>
      <c r="H184" s="7"/>
      <c r="I184" s="287"/>
      <c r="J184" s="288"/>
      <c r="K184" s="288"/>
      <c r="L184" s="7"/>
      <c r="M184" s="28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</row>
    <row r="185" ht="18.75" customHeight="1">
      <c r="A185" s="7"/>
      <c r="B185" s="284"/>
      <c r="C185" s="7"/>
      <c r="D185" s="285"/>
      <c r="E185" s="286"/>
      <c r="F185" s="7"/>
      <c r="G185" s="7"/>
      <c r="H185" s="7"/>
      <c r="I185" s="287"/>
      <c r="J185" s="288"/>
      <c r="K185" s="288"/>
      <c r="L185" s="7"/>
      <c r="M185" s="28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</row>
    <row r="186" ht="18.75" customHeight="1">
      <c r="A186" s="7"/>
      <c r="B186" s="284"/>
      <c r="C186" s="7"/>
      <c r="D186" s="285"/>
      <c r="E186" s="286"/>
      <c r="F186" s="7"/>
      <c r="G186" s="7"/>
      <c r="H186" s="7"/>
      <c r="I186" s="287"/>
      <c r="J186" s="288"/>
      <c r="K186" s="288"/>
      <c r="L186" s="7"/>
      <c r="M186" s="28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</row>
    <row r="187" ht="18.75" customHeight="1">
      <c r="A187" s="7"/>
      <c r="B187" s="284"/>
      <c r="C187" s="7"/>
      <c r="D187" s="285"/>
      <c r="E187" s="286"/>
      <c r="F187" s="7"/>
      <c r="G187" s="7"/>
      <c r="H187" s="7"/>
      <c r="I187" s="287"/>
      <c r="J187" s="288"/>
      <c r="K187" s="288"/>
      <c r="L187" s="7"/>
      <c r="M187" s="28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</row>
    <row r="188" ht="18.75" customHeight="1">
      <c r="A188" s="7"/>
      <c r="B188" s="284"/>
      <c r="C188" s="7"/>
      <c r="D188" s="285"/>
      <c r="E188" s="286"/>
      <c r="F188" s="7"/>
      <c r="G188" s="7"/>
      <c r="H188" s="7"/>
      <c r="I188" s="287"/>
      <c r="J188" s="288"/>
      <c r="K188" s="288"/>
      <c r="L188" s="7"/>
      <c r="M188" s="28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</row>
    <row r="189" ht="18.75" customHeight="1">
      <c r="A189" s="7"/>
      <c r="B189" s="284"/>
      <c r="C189" s="7"/>
      <c r="D189" s="285"/>
      <c r="E189" s="286"/>
      <c r="F189" s="7"/>
      <c r="G189" s="7"/>
      <c r="H189" s="7"/>
      <c r="I189" s="287"/>
      <c r="J189" s="288"/>
      <c r="K189" s="288"/>
      <c r="L189" s="7"/>
      <c r="M189" s="28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</row>
    <row r="190" ht="18.75" customHeight="1">
      <c r="A190" s="7"/>
      <c r="B190" s="284"/>
      <c r="C190" s="7"/>
      <c r="D190" s="285"/>
      <c r="E190" s="286"/>
      <c r="F190" s="7"/>
      <c r="G190" s="7"/>
      <c r="H190" s="7"/>
      <c r="I190" s="287"/>
      <c r="J190" s="288"/>
      <c r="K190" s="288"/>
      <c r="L190" s="7"/>
      <c r="M190" s="28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</row>
    <row r="191" ht="18.75" customHeight="1">
      <c r="A191" s="7"/>
      <c r="B191" s="284"/>
      <c r="C191" s="7"/>
      <c r="D191" s="285"/>
      <c r="E191" s="286"/>
      <c r="F191" s="7"/>
      <c r="G191" s="7"/>
      <c r="H191" s="7"/>
      <c r="I191" s="287"/>
      <c r="J191" s="288"/>
      <c r="K191" s="288"/>
      <c r="L191" s="7"/>
      <c r="M191" s="28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</row>
    <row r="192" ht="18.75" customHeight="1">
      <c r="A192" s="7"/>
      <c r="B192" s="284"/>
      <c r="C192" s="7"/>
      <c r="D192" s="285"/>
      <c r="E192" s="286"/>
      <c r="F192" s="7"/>
      <c r="G192" s="7"/>
      <c r="H192" s="7"/>
      <c r="I192" s="287"/>
      <c r="J192" s="288"/>
      <c r="K192" s="288"/>
      <c r="L192" s="7"/>
      <c r="M192" s="28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</row>
    <row r="193" ht="18.75" customHeight="1">
      <c r="A193" s="7"/>
      <c r="B193" s="284"/>
      <c r="C193" s="7"/>
      <c r="D193" s="285"/>
      <c r="E193" s="286"/>
      <c r="F193" s="7"/>
      <c r="G193" s="7"/>
      <c r="H193" s="7"/>
      <c r="I193" s="287"/>
      <c r="J193" s="288"/>
      <c r="K193" s="288"/>
      <c r="L193" s="7"/>
      <c r="M193" s="28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</row>
    <row r="194" ht="18.75" customHeight="1">
      <c r="A194" s="7"/>
      <c r="B194" s="284"/>
      <c r="C194" s="7"/>
      <c r="D194" s="285"/>
      <c r="E194" s="286"/>
      <c r="F194" s="7"/>
      <c r="G194" s="7"/>
      <c r="H194" s="7"/>
      <c r="I194" s="287"/>
      <c r="J194" s="288"/>
      <c r="K194" s="288"/>
      <c r="L194" s="7"/>
      <c r="M194" s="28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</row>
    <row r="195" ht="18.75" customHeight="1">
      <c r="A195" s="7"/>
      <c r="B195" s="284"/>
      <c r="C195" s="7"/>
      <c r="D195" s="285"/>
      <c r="E195" s="286"/>
      <c r="F195" s="7"/>
      <c r="G195" s="7"/>
      <c r="H195" s="7"/>
      <c r="I195" s="287"/>
      <c r="J195" s="288"/>
      <c r="K195" s="288"/>
      <c r="L195" s="7"/>
      <c r="M195" s="28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</row>
    <row r="196" ht="18.75" customHeight="1">
      <c r="A196" s="7"/>
      <c r="B196" s="284"/>
      <c r="C196" s="7"/>
      <c r="D196" s="285"/>
      <c r="E196" s="286"/>
      <c r="F196" s="7"/>
      <c r="G196" s="7"/>
      <c r="H196" s="7"/>
      <c r="I196" s="287"/>
      <c r="J196" s="288"/>
      <c r="K196" s="288"/>
      <c r="L196" s="7"/>
      <c r="M196" s="28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</row>
    <row r="197" ht="18.75" customHeight="1">
      <c r="A197" s="7"/>
      <c r="B197" s="284"/>
      <c r="C197" s="7"/>
      <c r="D197" s="285"/>
      <c r="E197" s="286"/>
      <c r="F197" s="7"/>
      <c r="G197" s="7"/>
      <c r="H197" s="7"/>
      <c r="I197" s="287"/>
      <c r="J197" s="288"/>
      <c r="K197" s="288"/>
      <c r="L197" s="7"/>
      <c r="M197" s="28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</row>
    <row r="198" ht="18.75" customHeight="1">
      <c r="A198" s="7"/>
      <c r="B198" s="284"/>
      <c r="C198" s="7"/>
      <c r="D198" s="285"/>
      <c r="E198" s="286"/>
      <c r="F198" s="7"/>
      <c r="G198" s="7"/>
      <c r="H198" s="7"/>
      <c r="I198" s="287"/>
      <c r="J198" s="288"/>
      <c r="K198" s="288"/>
      <c r="L198" s="7"/>
      <c r="M198" s="28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</row>
    <row r="199" ht="18.75" customHeight="1">
      <c r="A199" s="7"/>
      <c r="B199" s="284"/>
      <c r="C199" s="7"/>
      <c r="D199" s="285"/>
      <c r="E199" s="286"/>
      <c r="F199" s="7"/>
      <c r="G199" s="7"/>
      <c r="H199" s="7"/>
      <c r="I199" s="287"/>
      <c r="J199" s="288"/>
      <c r="K199" s="288"/>
      <c r="L199" s="7"/>
      <c r="M199" s="28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</row>
    <row r="200" ht="18.75" customHeight="1">
      <c r="A200" s="7"/>
      <c r="B200" s="284"/>
      <c r="C200" s="7"/>
      <c r="D200" s="285"/>
      <c r="E200" s="286"/>
      <c r="F200" s="7"/>
      <c r="G200" s="7"/>
      <c r="H200" s="7"/>
      <c r="I200" s="287"/>
      <c r="J200" s="288"/>
      <c r="K200" s="288"/>
      <c r="L200" s="7"/>
      <c r="M200" s="28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</row>
    <row r="201" ht="18.75" customHeight="1">
      <c r="A201" s="7"/>
      <c r="B201" s="284"/>
      <c r="C201" s="7"/>
      <c r="D201" s="285"/>
      <c r="E201" s="286"/>
      <c r="F201" s="7"/>
      <c r="G201" s="7"/>
      <c r="H201" s="7"/>
      <c r="I201" s="287"/>
      <c r="J201" s="288"/>
      <c r="K201" s="288"/>
      <c r="L201" s="7"/>
      <c r="M201" s="28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</row>
    <row r="202" ht="18.75" customHeight="1">
      <c r="A202" s="7"/>
      <c r="B202" s="284"/>
      <c r="C202" s="7"/>
      <c r="D202" s="285"/>
      <c r="E202" s="286"/>
      <c r="F202" s="7"/>
      <c r="G202" s="7"/>
      <c r="H202" s="7"/>
      <c r="I202" s="287"/>
      <c r="J202" s="288"/>
      <c r="K202" s="288"/>
      <c r="L202" s="7"/>
      <c r="M202" s="28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</row>
    <row r="203" ht="18.75" customHeight="1">
      <c r="A203" s="7"/>
      <c r="B203" s="284"/>
      <c r="C203" s="7"/>
      <c r="D203" s="285"/>
      <c r="E203" s="286"/>
      <c r="F203" s="7"/>
      <c r="G203" s="7"/>
      <c r="H203" s="7"/>
      <c r="I203" s="287"/>
      <c r="J203" s="288"/>
      <c r="K203" s="288"/>
      <c r="L203" s="7"/>
      <c r="M203" s="28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</row>
    <row r="204" ht="18.75" customHeight="1">
      <c r="A204" s="7"/>
      <c r="B204" s="284"/>
      <c r="C204" s="7"/>
      <c r="D204" s="285"/>
      <c r="E204" s="286"/>
      <c r="F204" s="7"/>
      <c r="G204" s="7"/>
      <c r="H204" s="7"/>
      <c r="I204" s="287"/>
      <c r="J204" s="288"/>
      <c r="K204" s="288"/>
      <c r="L204" s="7"/>
      <c r="M204" s="28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</row>
    <row r="205" ht="18.75" customHeight="1">
      <c r="A205" s="7"/>
      <c r="B205" s="284"/>
      <c r="C205" s="7"/>
      <c r="D205" s="285"/>
      <c r="E205" s="286"/>
      <c r="F205" s="7"/>
      <c r="G205" s="7"/>
      <c r="H205" s="7"/>
      <c r="I205" s="287"/>
      <c r="J205" s="288"/>
      <c r="K205" s="288"/>
      <c r="L205" s="7"/>
      <c r="M205" s="28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</row>
    <row r="206" ht="18.75" customHeight="1">
      <c r="A206" s="7"/>
      <c r="B206" s="284"/>
      <c r="C206" s="7"/>
      <c r="D206" s="285"/>
      <c r="E206" s="286"/>
      <c r="F206" s="7"/>
      <c r="G206" s="7"/>
      <c r="H206" s="7"/>
      <c r="I206" s="287"/>
      <c r="J206" s="288"/>
      <c r="K206" s="288"/>
      <c r="L206" s="7"/>
      <c r="M206" s="28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</row>
    <row r="207" ht="18.75" customHeight="1">
      <c r="A207" s="7"/>
      <c r="B207" s="284"/>
      <c r="C207" s="7"/>
      <c r="D207" s="285"/>
      <c r="E207" s="286"/>
      <c r="F207" s="7"/>
      <c r="G207" s="7"/>
      <c r="H207" s="7"/>
      <c r="I207" s="287"/>
      <c r="J207" s="288"/>
      <c r="K207" s="288"/>
      <c r="L207" s="7"/>
      <c r="M207" s="28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</row>
    <row r="208" ht="18.75" customHeight="1">
      <c r="A208" s="7"/>
      <c r="B208" s="284"/>
      <c r="C208" s="7"/>
      <c r="D208" s="285"/>
      <c r="E208" s="286"/>
      <c r="F208" s="7"/>
      <c r="G208" s="7"/>
      <c r="H208" s="7"/>
      <c r="I208" s="287"/>
      <c r="J208" s="288"/>
      <c r="K208" s="288"/>
      <c r="L208" s="7"/>
      <c r="M208" s="28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</row>
    <row r="209" ht="18.75" customHeight="1">
      <c r="A209" s="7"/>
      <c r="B209" s="284"/>
      <c r="C209" s="7"/>
      <c r="D209" s="285"/>
      <c r="E209" s="286"/>
      <c r="F209" s="7"/>
      <c r="G209" s="7"/>
      <c r="H209" s="7"/>
      <c r="I209" s="287"/>
      <c r="J209" s="288"/>
      <c r="K209" s="288"/>
      <c r="L209" s="7"/>
      <c r="M209" s="28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</row>
    <row r="210" ht="18.75" customHeight="1">
      <c r="A210" s="7"/>
      <c r="B210" s="284"/>
      <c r="C210" s="7"/>
      <c r="D210" s="285"/>
      <c r="E210" s="286"/>
      <c r="F210" s="7"/>
      <c r="G210" s="7"/>
      <c r="H210" s="7"/>
      <c r="I210" s="287"/>
      <c r="J210" s="288"/>
      <c r="K210" s="288"/>
      <c r="L210" s="7"/>
      <c r="M210" s="28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</row>
    <row r="211" ht="18.75" customHeight="1">
      <c r="A211" s="7"/>
      <c r="B211" s="284"/>
      <c r="C211" s="7"/>
      <c r="D211" s="285"/>
      <c r="E211" s="286"/>
      <c r="F211" s="7"/>
      <c r="G211" s="7"/>
      <c r="H211" s="7"/>
      <c r="I211" s="287"/>
      <c r="J211" s="288"/>
      <c r="K211" s="288"/>
      <c r="L211" s="7"/>
      <c r="M211" s="28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</row>
    <row r="212" ht="18.75" customHeight="1">
      <c r="A212" s="7"/>
      <c r="B212" s="284"/>
      <c r="C212" s="7"/>
      <c r="D212" s="285"/>
      <c r="E212" s="286"/>
      <c r="F212" s="7"/>
      <c r="G212" s="7"/>
      <c r="H212" s="7"/>
      <c r="I212" s="287"/>
      <c r="J212" s="288"/>
      <c r="K212" s="288"/>
      <c r="L212" s="7"/>
      <c r="M212" s="28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</row>
    <row r="213" ht="18.75" customHeight="1">
      <c r="A213" s="7"/>
      <c r="B213" s="284"/>
      <c r="C213" s="7"/>
      <c r="D213" s="285"/>
      <c r="E213" s="286"/>
      <c r="F213" s="7"/>
      <c r="G213" s="7"/>
      <c r="H213" s="7"/>
      <c r="I213" s="287"/>
      <c r="J213" s="288"/>
      <c r="K213" s="288"/>
      <c r="L213" s="7"/>
      <c r="M213" s="28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</row>
    <row r="214" ht="18.75" customHeight="1">
      <c r="A214" s="7"/>
      <c r="B214" s="284"/>
      <c r="C214" s="7"/>
      <c r="D214" s="285"/>
      <c r="E214" s="286"/>
      <c r="F214" s="7"/>
      <c r="G214" s="7"/>
      <c r="H214" s="7"/>
      <c r="I214" s="287"/>
      <c r="J214" s="288"/>
      <c r="K214" s="288"/>
      <c r="L214" s="7"/>
      <c r="M214" s="28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</row>
    <row r="215" ht="18.75" customHeight="1">
      <c r="A215" s="7"/>
      <c r="B215" s="284"/>
      <c r="C215" s="7"/>
      <c r="D215" s="285"/>
      <c r="E215" s="286"/>
      <c r="F215" s="7"/>
      <c r="G215" s="7"/>
      <c r="H215" s="7"/>
      <c r="I215" s="287"/>
      <c r="J215" s="288"/>
      <c r="K215" s="288"/>
      <c r="L215" s="7"/>
      <c r="M215" s="28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</row>
    <row r="216" ht="18.75" customHeight="1">
      <c r="A216" s="7"/>
      <c r="B216" s="284"/>
      <c r="C216" s="7"/>
      <c r="D216" s="285"/>
      <c r="E216" s="286"/>
      <c r="F216" s="7"/>
      <c r="G216" s="7"/>
      <c r="H216" s="7"/>
      <c r="I216" s="287"/>
      <c r="J216" s="288"/>
      <c r="K216" s="288"/>
      <c r="L216" s="7"/>
      <c r="M216" s="28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</row>
    <row r="217" ht="18.75" customHeight="1">
      <c r="A217" s="7"/>
      <c r="B217" s="284"/>
      <c r="C217" s="7"/>
      <c r="D217" s="285"/>
      <c r="E217" s="286"/>
      <c r="F217" s="7"/>
      <c r="G217" s="7"/>
      <c r="H217" s="7"/>
      <c r="I217" s="287"/>
      <c r="J217" s="288"/>
      <c r="K217" s="288"/>
      <c r="L217" s="7"/>
      <c r="M217" s="28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</row>
    <row r="218" ht="18.75" customHeight="1">
      <c r="A218" s="7"/>
      <c r="B218" s="284"/>
      <c r="C218" s="7"/>
      <c r="D218" s="285"/>
      <c r="E218" s="286"/>
      <c r="F218" s="7"/>
      <c r="G218" s="7"/>
      <c r="H218" s="7"/>
      <c r="I218" s="287"/>
      <c r="J218" s="288"/>
      <c r="K218" s="288"/>
      <c r="L218" s="7"/>
      <c r="M218" s="28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</row>
    <row r="219" ht="18.75" customHeight="1">
      <c r="A219" s="7"/>
      <c r="B219" s="284"/>
      <c r="C219" s="7"/>
      <c r="D219" s="285"/>
      <c r="E219" s="286"/>
      <c r="F219" s="7"/>
      <c r="G219" s="7"/>
      <c r="H219" s="7"/>
      <c r="I219" s="287"/>
      <c r="J219" s="288"/>
      <c r="K219" s="288"/>
      <c r="L219" s="7"/>
      <c r="M219" s="28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</row>
    <row r="220" ht="18.75" customHeight="1">
      <c r="A220" s="7"/>
      <c r="B220" s="284"/>
      <c r="C220" s="7"/>
      <c r="D220" s="285"/>
      <c r="E220" s="286"/>
      <c r="F220" s="7"/>
      <c r="G220" s="7"/>
      <c r="H220" s="7"/>
      <c r="I220" s="287"/>
      <c r="J220" s="288"/>
      <c r="K220" s="288"/>
      <c r="L220" s="7"/>
      <c r="M220" s="28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</row>
    <row r="221" ht="18.75" customHeight="1">
      <c r="A221" s="7"/>
      <c r="B221" s="284"/>
      <c r="C221" s="7"/>
      <c r="D221" s="285"/>
      <c r="E221" s="286"/>
      <c r="F221" s="7"/>
      <c r="G221" s="7"/>
      <c r="H221" s="7"/>
      <c r="I221" s="287"/>
      <c r="J221" s="288"/>
      <c r="K221" s="288"/>
      <c r="L221" s="7"/>
      <c r="M221" s="28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</row>
    <row r="222" ht="18.75" customHeight="1">
      <c r="A222" s="7"/>
      <c r="B222" s="284"/>
      <c r="C222" s="7"/>
      <c r="D222" s="285"/>
      <c r="E222" s="286"/>
      <c r="F222" s="7"/>
      <c r="G222" s="7"/>
      <c r="H222" s="7"/>
      <c r="I222" s="287"/>
      <c r="J222" s="288"/>
      <c r="K222" s="288"/>
      <c r="L222" s="7"/>
      <c r="M222" s="28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</row>
    <row r="223" ht="18.75" customHeight="1">
      <c r="A223" s="7"/>
      <c r="B223" s="284"/>
      <c r="C223" s="7"/>
      <c r="D223" s="285"/>
      <c r="E223" s="286"/>
      <c r="F223" s="7"/>
      <c r="G223" s="7"/>
      <c r="H223" s="7"/>
      <c r="I223" s="287"/>
      <c r="J223" s="288"/>
      <c r="K223" s="288"/>
      <c r="L223" s="7"/>
      <c r="M223" s="28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</row>
    <row r="224" ht="18.75" customHeight="1">
      <c r="A224" s="7"/>
      <c r="B224" s="284"/>
      <c r="C224" s="7"/>
      <c r="D224" s="285"/>
      <c r="E224" s="286"/>
      <c r="F224" s="7"/>
      <c r="G224" s="7"/>
      <c r="H224" s="7"/>
      <c r="I224" s="287"/>
      <c r="J224" s="288"/>
      <c r="K224" s="288"/>
      <c r="L224" s="7"/>
      <c r="M224" s="28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</row>
    <row r="225" ht="18.75" customHeight="1">
      <c r="A225" s="7"/>
      <c r="B225" s="284"/>
      <c r="C225" s="7"/>
      <c r="D225" s="285"/>
      <c r="E225" s="286"/>
      <c r="F225" s="7"/>
      <c r="G225" s="7"/>
      <c r="H225" s="7"/>
      <c r="I225" s="287"/>
      <c r="J225" s="288"/>
      <c r="K225" s="288"/>
      <c r="L225" s="7"/>
      <c r="M225" s="28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</row>
    <row r="226" ht="18.75" customHeight="1">
      <c r="A226" s="7"/>
      <c r="B226" s="284"/>
      <c r="C226" s="7"/>
      <c r="D226" s="285"/>
      <c r="E226" s="286"/>
      <c r="F226" s="7"/>
      <c r="G226" s="7"/>
      <c r="H226" s="7"/>
      <c r="I226" s="287"/>
      <c r="J226" s="288"/>
      <c r="K226" s="288"/>
      <c r="L226" s="7"/>
      <c r="M226" s="28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</row>
    <row r="227" ht="18.75" customHeight="1">
      <c r="A227" s="7"/>
      <c r="B227" s="284"/>
      <c r="C227" s="7"/>
      <c r="D227" s="285"/>
      <c r="E227" s="286"/>
      <c r="F227" s="7"/>
      <c r="G227" s="7"/>
      <c r="H227" s="7"/>
      <c r="I227" s="287"/>
      <c r="J227" s="288"/>
      <c r="K227" s="288"/>
      <c r="L227" s="7"/>
      <c r="M227" s="28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</row>
    <row r="228" ht="18.75" customHeight="1">
      <c r="A228" s="7"/>
      <c r="B228" s="284"/>
      <c r="C228" s="7"/>
      <c r="D228" s="285"/>
      <c r="E228" s="286"/>
      <c r="F228" s="7"/>
      <c r="G228" s="7"/>
      <c r="H228" s="7"/>
      <c r="I228" s="287"/>
      <c r="J228" s="288"/>
      <c r="K228" s="288"/>
      <c r="L228" s="7"/>
      <c r="M228" s="28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</row>
    <row r="229" ht="18.75" customHeight="1">
      <c r="A229" s="7"/>
      <c r="B229" s="284"/>
      <c r="C229" s="7"/>
      <c r="D229" s="285"/>
      <c r="E229" s="286"/>
      <c r="F229" s="7"/>
      <c r="G229" s="7"/>
      <c r="H229" s="7"/>
      <c r="I229" s="287"/>
      <c r="J229" s="288"/>
      <c r="K229" s="288"/>
      <c r="L229" s="7"/>
      <c r="M229" s="28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</row>
    <row r="230" ht="18.75" customHeight="1">
      <c r="A230" s="7"/>
      <c r="B230" s="284"/>
      <c r="C230" s="7"/>
      <c r="D230" s="285"/>
      <c r="E230" s="286"/>
      <c r="F230" s="7"/>
      <c r="G230" s="7"/>
      <c r="H230" s="7"/>
      <c r="I230" s="287"/>
      <c r="J230" s="288"/>
      <c r="K230" s="288"/>
      <c r="L230" s="7"/>
      <c r="M230" s="28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</row>
    <row r="231" ht="18.75" customHeight="1">
      <c r="A231" s="7"/>
      <c r="B231" s="284"/>
      <c r="C231" s="7"/>
      <c r="D231" s="285"/>
      <c r="E231" s="286"/>
      <c r="F231" s="7"/>
      <c r="G231" s="7"/>
      <c r="H231" s="7"/>
      <c r="I231" s="287"/>
      <c r="J231" s="288"/>
      <c r="K231" s="288"/>
      <c r="L231" s="7"/>
      <c r="M231" s="28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</row>
    <row r="232" ht="18.75" customHeight="1">
      <c r="A232" s="7"/>
      <c r="B232" s="284"/>
      <c r="C232" s="7"/>
      <c r="D232" s="285"/>
      <c r="E232" s="286"/>
      <c r="F232" s="7"/>
      <c r="G232" s="7"/>
      <c r="H232" s="7"/>
      <c r="I232" s="287"/>
      <c r="J232" s="288"/>
      <c r="K232" s="288"/>
      <c r="L232" s="7"/>
      <c r="M232" s="28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</row>
    <row r="233" ht="18.75" customHeight="1">
      <c r="A233" s="7"/>
      <c r="B233" s="284"/>
      <c r="C233" s="7"/>
      <c r="D233" s="285"/>
      <c r="E233" s="286"/>
      <c r="F233" s="7"/>
      <c r="G233" s="7"/>
      <c r="H233" s="7"/>
      <c r="I233" s="287"/>
      <c r="J233" s="288"/>
      <c r="K233" s="288"/>
      <c r="L233" s="7"/>
      <c r="M233" s="28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</row>
    <row r="234" ht="18.75" customHeight="1">
      <c r="A234" s="7"/>
      <c r="B234" s="284"/>
      <c r="C234" s="7"/>
      <c r="D234" s="285"/>
      <c r="E234" s="286"/>
      <c r="F234" s="7"/>
      <c r="G234" s="7"/>
      <c r="H234" s="7"/>
      <c r="I234" s="287"/>
      <c r="J234" s="288"/>
      <c r="K234" s="288"/>
      <c r="L234" s="7"/>
      <c r="M234" s="28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</row>
    <row r="235" ht="18.75" customHeight="1">
      <c r="A235" s="7"/>
      <c r="B235" s="284"/>
      <c r="C235" s="7"/>
      <c r="D235" s="285"/>
      <c r="E235" s="286"/>
      <c r="F235" s="7"/>
      <c r="G235" s="7"/>
      <c r="H235" s="7"/>
      <c r="I235" s="287"/>
      <c r="J235" s="288"/>
      <c r="K235" s="288"/>
      <c r="L235" s="7"/>
      <c r="M235" s="28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</row>
    <row r="236" ht="18.75" customHeight="1">
      <c r="A236" s="7"/>
      <c r="B236" s="284"/>
      <c r="C236" s="7"/>
      <c r="D236" s="285"/>
      <c r="E236" s="286"/>
      <c r="F236" s="7"/>
      <c r="G236" s="7"/>
      <c r="H236" s="7"/>
      <c r="I236" s="287"/>
      <c r="J236" s="288"/>
      <c r="K236" s="288"/>
      <c r="L236" s="7"/>
      <c r="M236" s="28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</row>
    <row r="237" ht="18.75" customHeight="1">
      <c r="A237" s="7"/>
      <c r="B237" s="284"/>
      <c r="C237" s="7"/>
      <c r="D237" s="285"/>
      <c r="E237" s="286"/>
      <c r="F237" s="7"/>
      <c r="G237" s="7"/>
      <c r="H237" s="7"/>
      <c r="I237" s="287"/>
      <c r="J237" s="288"/>
      <c r="K237" s="288"/>
      <c r="L237" s="7"/>
      <c r="M237" s="28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</row>
    <row r="238" ht="18.75" customHeight="1">
      <c r="A238" s="7"/>
      <c r="B238" s="284"/>
      <c r="C238" s="7"/>
      <c r="D238" s="285"/>
      <c r="E238" s="286"/>
      <c r="F238" s="7"/>
      <c r="G238" s="7"/>
      <c r="H238" s="7"/>
      <c r="I238" s="287"/>
      <c r="J238" s="288"/>
      <c r="K238" s="288"/>
      <c r="L238" s="7"/>
      <c r="M238" s="28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</row>
    <row r="239" ht="18.75" customHeight="1">
      <c r="A239" s="7"/>
      <c r="B239" s="284"/>
      <c r="C239" s="7"/>
      <c r="D239" s="285"/>
      <c r="E239" s="286"/>
      <c r="F239" s="7"/>
      <c r="G239" s="7"/>
      <c r="H239" s="7"/>
      <c r="I239" s="287"/>
      <c r="J239" s="288"/>
      <c r="K239" s="288"/>
      <c r="L239" s="7"/>
      <c r="M239" s="28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</row>
    <row r="240" ht="18.75" customHeight="1">
      <c r="A240" s="7"/>
      <c r="B240" s="284"/>
      <c r="C240" s="7"/>
      <c r="D240" s="285"/>
      <c r="E240" s="286"/>
      <c r="F240" s="7"/>
      <c r="G240" s="7"/>
      <c r="H240" s="7"/>
      <c r="I240" s="287"/>
      <c r="J240" s="288"/>
      <c r="K240" s="288"/>
      <c r="L240" s="7"/>
      <c r="M240" s="28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</row>
    <row r="241" ht="18.75" customHeight="1">
      <c r="A241" s="7"/>
      <c r="B241" s="284"/>
      <c r="C241" s="7"/>
      <c r="D241" s="285"/>
      <c r="E241" s="286"/>
      <c r="F241" s="7"/>
      <c r="G241" s="7"/>
      <c r="H241" s="7"/>
      <c r="I241" s="287"/>
      <c r="J241" s="288"/>
      <c r="K241" s="288"/>
      <c r="L241" s="7"/>
      <c r="M241" s="28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</row>
    <row r="242" ht="18.75" customHeight="1">
      <c r="A242" s="7"/>
      <c r="B242" s="284"/>
      <c r="C242" s="7"/>
      <c r="D242" s="285"/>
      <c r="E242" s="286"/>
      <c r="F242" s="7"/>
      <c r="G242" s="7"/>
      <c r="H242" s="7"/>
      <c r="I242" s="287"/>
      <c r="J242" s="288"/>
      <c r="K242" s="288"/>
      <c r="L242" s="7"/>
      <c r="M242" s="28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</row>
    <row r="243" ht="18.75" customHeight="1">
      <c r="A243" s="7"/>
      <c r="B243" s="284"/>
      <c r="C243" s="7"/>
      <c r="D243" s="285"/>
      <c r="E243" s="286"/>
      <c r="F243" s="7"/>
      <c r="G243" s="7"/>
      <c r="H243" s="7"/>
      <c r="I243" s="287"/>
      <c r="J243" s="288"/>
      <c r="K243" s="288"/>
      <c r="L243" s="7"/>
      <c r="M243" s="28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</row>
    <row r="244" ht="18.75" customHeight="1">
      <c r="A244" s="7"/>
      <c r="B244" s="284"/>
      <c r="C244" s="7"/>
      <c r="D244" s="285"/>
      <c r="E244" s="286"/>
      <c r="F244" s="7"/>
      <c r="G244" s="7"/>
      <c r="H244" s="7"/>
      <c r="I244" s="287"/>
      <c r="J244" s="288"/>
      <c r="K244" s="288"/>
      <c r="L244" s="7"/>
      <c r="M244" s="28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</row>
    <row r="245" ht="18.75" customHeight="1">
      <c r="A245" s="7"/>
      <c r="B245" s="284"/>
      <c r="C245" s="7"/>
      <c r="D245" s="285"/>
      <c r="E245" s="286"/>
      <c r="F245" s="7"/>
      <c r="G245" s="7"/>
      <c r="H245" s="7"/>
      <c r="I245" s="287"/>
      <c r="J245" s="288"/>
      <c r="K245" s="288"/>
      <c r="L245" s="7"/>
      <c r="M245" s="28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</row>
    <row r="246" ht="18.75" customHeight="1">
      <c r="A246" s="7"/>
      <c r="B246" s="284"/>
      <c r="C246" s="7"/>
      <c r="D246" s="285"/>
      <c r="E246" s="286"/>
      <c r="F246" s="7"/>
      <c r="G246" s="7"/>
      <c r="H246" s="7"/>
      <c r="I246" s="287"/>
      <c r="J246" s="288"/>
      <c r="K246" s="288"/>
      <c r="L246" s="7"/>
      <c r="M246" s="28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</row>
    <row r="247" ht="18.75" customHeight="1">
      <c r="A247" s="7"/>
      <c r="B247" s="284"/>
      <c r="C247" s="7"/>
      <c r="D247" s="285"/>
      <c r="E247" s="286"/>
      <c r="F247" s="7"/>
      <c r="G247" s="7"/>
      <c r="H247" s="7"/>
      <c r="I247" s="287"/>
      <c r="J247" s="288"/>
      <c r="K247" s="288"/>
      <c r="L247" s="7"/>
      <c r="M247" s="28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</row>
    <row r="248" ht="18.75" customHeight="1">
      <c r="A248" s="7"/>
      <c r="B248" s="284"/>
      <c r="C248" s="7"/>
      <c r="D248" s="285"/>
      <c r="E248" s="286"/>
      <c r="F248" s="7"/>
      <c r="G248" s="7"/>
      <c r="H248" s="7"/>
      <c r="I248" s="287"/>
      <c r="J248" s="288"/>
      <c r="K248" s="288"/>
      <c r="L248" s="7"/>
      <c r="M248" s="28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</row>
    <row r="249" ht="18.75" customHeight="1">
      <c r="A249" s="7"/>
      <c r="B249" s="284"/>
      <c r="C249" s="7"/>
      <c r="D249" s="285"/>
      <c r="E249" s="286"/>
      <c r="F249" s="7"/>
      <c r="G249" s="7"/>
      <c r="H249" s="7"/>
      <c r="I249" s="287"/>
      <c r="J249" s="288"/>
      <c r="K249" s="288"/>
      <c r="L249" s="7"/>
      <c r="M249" s="28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</row>
    <row r="250" ht="18.75" customHeight="1">
      <c r="A250" s="7"/>
      <c r="B250" s="284"/>
      <c r="C250" s="7"/>
      <c r="D250" s="285"/>
      <c r="E250" s="286"/>
      <c r="F250" s="7"/>
      <c r="G250" s="7"/>
      <c r="H250" s="7"/>
      <c r="I250" s="287"/>
      <c r="J250" s="288"/>
      <c r="K250" s="288"/>
      <c r="L250" s="7"/>
      <c r="M250" s="28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</row>
    <row r="251" ht="18.75" customHeight="1">
      <c r="A251" s="7"/>
      <c r="B251" s="284"/>
      <c r="C251" s="7"/>
      <c r="D251" s="285"/>
      <c r="E251" s="286"/>
      <c r="F251" s="7"/>
      <c r="G251" s="7"/>
      <c r="H251" s="7"/>
      <c r="I251" s="287"/>
      <c r="J251" s="288"/>
      <c r="K251" s="288"/>
      <c r="L251" s="7"/>
      <c r="M251" s="28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</row>
    <row r="252" ht="18.75" customHeight="1">
      <c r="A252" s="7"/>
      <c r="B252" s="284"/>
      <c r="C252" s="7"/>
      <c r="D252" s="285"/>
      <c r="E252" s="286"/>
      <c r="F252" s="7"/>
      <c r="G252" s="7"/>
      <c r="H252" s="7"/>
      <c r="I252" s="287"/>
      <c r="J252" s="288"/>
      <c r="K252" s="288"/>
      <c r="L252" s="7"/>
      <c r="M252" s="28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</row>
    <row r="253" ht="18.75" customHeight="1">
      <c r="A253" s="7"/>
      <c r="B253" s="284"/>
      <c r="C253" s="7"/>
      <c r="D253" s="285"/>
      <c r="E253" s="286"/>
      <c r="F253" s="7"/>
      <c r="G253" s="7"/>
      <c r="H253" s="7"/>
      <c r="I253" s="287"/>
      <c r="J253" s="288"/>
      <c r="K253" s="288"/>
      <c r="L253" s="7"/>
      <c r="M253" s="28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</row>
    <row r="254" ht="18.75" customHeight="1">
      <c r="A254" s="7"/>
      <c r="B254" s="284"/>
      <c r="C254" s="7"/>
      <c r="D254" s="285"/>
      <c r="E254" s="286"/>
      <c r="F254" s="7"/>
      <c r="G254" s="7"/>
      <c r="H254" s="7"/>
      <c r="I254" s="287"/>
      <c r="J254" s="288"/>
      <c r="K254" s="288"/>
      <c r="L254" s="7"/>
      <c r="M254" s="28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</row>
    <row r="255" ht="18.75" customHeight="1">
      <c r="A255" s="7"/>
      <c r="B255" s="284"/>
      <c r="C255" s="7"/>
      <c r="D255" s="285"/>
      <c r="E255" s="286"/>
      <c r="F255" s="7"/>
      <c r="G255" s="7"/>
      <c r="H255" s="7"/>
      <c r="I255" s="287"/>
      <c r="J255" s="288"/>
      <c r="K255" s="288"/>
      <c r="L255" s="7"/>
      <c r="M255" s="28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</row>
    <row r="256" ht="18.75" customHeight="1">
      <c r="A256" s="7"/>
      <c r="B256" s="284"/>
      <c r="C256" s="7"/>
      <c r="D256" s="285"/>
      <c r="E256" s="286"/>
      <c r="F256" s="7"/>
      <c r="G256" s="7"/>
      <c r="H256" s="7"/>
      <c r="I256" s="287"/>
      <c r="J256" s="288"/>
      <c r="K256" s="288"/>
      <c r="L256" s="7"/>
      <c r="M256" s="28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</row>
    <row r="257" ht="18.75" customHeight="1">
      <c r="A257" s="7"/>
      <c r="B257" s="284"/>
      <c r="C257" s="7"/>
      <c r="D257" s="285"/>
      <c r="E257" s="286"/>
      <c r="F257" s="7"/>
      <c r="G257" s="7"/>
      <c r="H257" s="7"/>
      <c r="I257" s="287"/>
      <c r="J257" s="288"/>
      <c r="K257" s="288"/>
      <c r="L257" s="7"/>
      <c r="M257" s="28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</row>
    <row r="258" ht="18.75" customHeight="1">
      <c r="A258" s="7"/>
      <c r="B258" s="284"/>
      <c r="C258" s="7"/>
      <c r="D258" s="285"/>
      <c r="E258" s="286"/>
      <c r="F258" s="7"/>
      <c r="G258" s="7"/>
      <c r="H258" s="7"/>
      <c r="I258" s="287"/>
      <c r="J258" s="288"/>
      <c r="K258" s="288"/>
      <c r="L258" s="7"/>
      <c r="M258" s="28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</row>
    <row r="259" ht="18.75" customHeight="1">
      <c r="A259" s="7"/>
      <c r="B259" s="284"/>
      <c r="C259" s="7"/>
      <c r="D259" s="285"/>
      <c r="E259" s="286"/>
      <c r="F259" s="7"/>
      <c r="G259" s="7"/>
      <c r="H259" s="7"/>
      <c r="I259" s="287"/>
      <c r="J259" s="288"/>
      <c r="K259" s="288"/>
      <c r="L259" s="7"/>
      <c r="M259" s="28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</row>
    <row r="260" ht="18.75" customHeight="1">
      <c r="A260" s="7"/>
      <c r="B260" s="284"/>
      <c r="C260" s="7"/>
      <c r="D260" s="285"/>
      <c r="E260" s="286"/>
      <c r="F260" s="7"/>
      <c r="G260" s="7"/>
      <c r="H260" s="7"/>
      <c r="I260" s="287"/>
      <c r="J260" s="288"/>
      <c r="K260" s="288"/>
      <c r="L260" s="7"/>
      <c r="M260" s="28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</row>
    <row r="261" ht="18.75" customHeight="1">
      <c r="A261" s="7"/>
      <c r="B261" s="284"/>
      <c r="C261" s="7"/>
      <c r="D261" s="285"/>
      <c r="E261" s="286"/>
      <c r="F261" s="7"/>
      <c r="G261" s="7"/>
      <c r="H261" s="7"/>
      <c r="I261" s="287"/>
      <c r="J261" s="288"/>
      <c r="K261" s="288"/>
      <c r="L261" s="7"/>
      <c r="M261" s="28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</row>
    <row r="262" ht="18.75" customHeight="1">
      <c r="A262" s="7"/>
      <c r="B262" s="284"/>
      <c r="C262" s="7"/>
      <c r="D262" s="285"/>
      <c r="E262" s="286"/>
      <c r="F262" s="7"/>
      <c r="G262" s="7"/>
      <c r="H262" s="7"/>
      <c r="I262" s="287"/>
      <c r="J262" s="288"/>
      <c r="K262" s="288"/>
      <c r="L262" s="7"/>
      <c r="M262" s="28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</row>
    <row r="263" ht="18.75" customHeight="1">
      <c r="A263" s="7"/>
      <c r="B263" s="284"/>
      <c r="C263" s="7"/>
      <c r="D263" s="285"/>
      <c r="E263" s="286"/>
      <c r="F263" s="7"/>
      <c r="G263" s="7"/>
      <c r="H263" s="7"/>
      <c r="I263" s="287"/>
      <c r="J263" s="288"/>
      <c r="K263" s="288"/>
      <c r="L263" s="7"/>
      <c r="M263" s="28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</row>
    <row r="264" ht="18.75" customHeight="1">
      <c r="A264" s="7"/>
      <c r="B264" s="284"/>
      <c r="C264" s="7"/>
      <c r="D264" s="285"/>
      <c r="E264" s="286"/>
      <c r="F264" s="7"/>
      <c r="G264" s="7"/>
      <c r="H264" s="7"/>
      <c r="I264" s="287"/>
      <c r="J264" s="288"/>
      <c r="K264" s="288"/>
      <c r="L264" s="7"/>
      <c r="M264" s="28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</row>
    <row r="265" ht="18.75" customHeight="1">
      <c r="A265" s="7"/>
      <c r="B265" s="284"/>
      <c r="C265" s="7"/>
      <c r="D265" s="285"/>
      <c r="E265" s="286"/>
      <c r="F265" s="7"/>
      <c r="G265" s="7"/>
      <c r="H265" s="7"/>
      <c r="I265" s="287"/>
      <c r="J265" s="288"/>
      <c r="K265" s="288"/>
      <c r="L265" s="7"/>
      <c r="M265" s="28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</row>
    <row r="266" ht="18.75" customHeight="1">
      <c r="A266" s="7"/>
      <c r="B266" s="284"/>
      <c r="C266" s="7"/>
      <c r="D266" s="285"/>
      <c r="E266" s="286"/>
      <c r="F266" s="7"/>
      <c r="G266" s="7"/>
      <c r="H266" s="7"/>
      <c r="I266" s="287"/>
      <c r="J266" s="288"/>
      <c r="K266" s="288"/>
      <c r="L266" s="7"/>
      <c r="M266" s="28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</row>
    <row r="267" ht="18.75" customHeight="1">
      <c r="A267" s="7"/>
      <c r="B267" s="284"/>
      <c r="C267" s="7"/>
      <c r="D267" s="285"/>
      <c r="E267" s="286"/>
      <c r="F267" s="7"/>
      <c r="G267" s="7"/>
      <c r="H267" s="7"/>
      <c r="I267" s="287"/>
      <c r="J267" s="288"/>
      <c r="K267" s="288"/>
      <c r="L267" s="7"/>
      <c r="M267" s="28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</row>
    <row r="268" ht="18.75" customHeight="1">
      <c r="A268" s="7"/>
      <c r="B268" s="284"/>
      <c r="C268" s="7"/>
      <c r="D268" s="285"/>
      <c r="E268" s="286"/>
      <c r="F268" s="7"/>
      <c r="G268" s="7"/>
      <c r="H268" s="7"/>
      <c r="I268" s="287"/>
      <c r="J268" s="288"/>
      <c r="K268" s="288"/>
      <c r="L268" s="7"/>
      <c r="M268" s="28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</row>
    <row r="269" ht="18.75" customHeight="1">
      <c r="A269" s="7"/>
      <c r="B269" s="284"/>
      <c r="C269" s="7"/>
      <c r="D269" s="285"/>
      <c r="E269" s="286"/>
      <c r="F269" s="7"/>
      <c r="G269" s="7"/>
      <c r="H269" s="7"/>
      <c r="I269" s="287"/>
      <c r="J269" s="288"/>
      <c r="K269" s="288"/>
      <c r="L269" s="7"/>
      <c r="M269" s="28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</row>
    <row r="270" ht="18.75" customHeight="1">
      <c r="A270" s="7"/>
      <c r="B270" s="284"/>
      <c r="C270" s="7"/>
      <c r="D270" s="285"/>
      <c r="E270" s="286"/>
      <c r="F270" s="7"/>
      <c r="G270" s="7"/>
      <c r="H270" s="7"/>
      <c r="I270" s="287"/>
      <c r="J270" s="288"/>
      <c r="K270" s="288"/>
      <c r="L270" s="7"/>
      <c r="M270" s="28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</row>
    <row r="271" ht="18.75" customHeight="1">
      <c r="A271" s="7"/>
      <c r="B271" s="284"/>
      <c r="C271" s="7"/>
      <c r="D271" s="285"/>
      <c r="E271" s="286"/>
      <c r="F271" s="7"/>
      <c r="G271" s="7"/>
      <c r="H271" s="7"/>
      <c r="I271" s="287"/>
      <c r="J271" s="288"/>
      <c r="K271" s="288"/>
      <c r="L271" s="7"/>
      <c r="M271" s="28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</row>
    <row r="272" ht="18.75" customHeight="1">
      <c r="A272" s="7"/>
      <c r="B272" s="284"/>
      <c r="C272" s="7"/>
      <c r="D272" s="285"/>
      <c r="E272" s="286"/>
      <c r="F272" s="7"/>
      <c r="G272" s="7"/>
      <c r="H272" s="7"/>
      <c r="I272" s="287"/>
      <c r="J272" s="288"/>
      <c r="K272" s="288"/>
      <c r="L272" s="7"/>
      <c r="M272" s="28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</row>
    <row r="273" ht="18.75" customHeight="1">
      <c r="A273" s="7"/>
      <c r="B273" s="284"/>
      <c r="C273" s="7"/>
      <c r="D273" s="285"/>
      <c r="E273" s="286"/>
      <c r="F273" s="7"/>
      <c r="G273" s="7"/>
      <c r="H273" s="7"/>
      <c r="I273" s="287"/>
      <c r="J273" s="288"/>
      <c r="K273" s="288"/>
      <c r="L273" s="7"/>
      <c r="M273" s="28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</row>
    <row r="274" ht="18.75" customHeight="1">
      <c r="A274" s="7"/>
      <c r="B274" s="284"/>
      <c r="C274" s="7"/>
      <c r="D274" s="285"/>
      <c r="E274" s="286"/>
      <c r="F274" s="7"/>
      <c r="G274" s="7"/>
      <c r="H274" s="7"/>
      <c r="I274" s="287"/>
      <c r="J274" s="288"/>
      <c r="K274" s="288"/>
      <c r="L274" s="7"/>
      <c r="M274" s="28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</row>
    <row r="275" ht="18.75" customHeight="1">
      <c r="A275" s="7"/>
      <c r="B275" s="284"/>
      <c r="C275" s="7"/>
      <c r="D275" s="285"/>
      <c r="E275" s="286"/>
      <c r="F275" s="7"/>
      <c r="G275" s="7"/>
      <c r="H275" s="7"/>
      <c r="I275" s="287"/>
      <c r="J275" s="288"/>
      <c r="K275" s="288"/>
      <c r="L275" s="7"/>
      <c r="M275" s="28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</row>
    <row r="276" ht="18.75" customHeight="1">
      <c r="A276" s="7"/>
      <c r="B276" s="284"/>
      <c r="C276" s="7"/>
      <c r="D276" s="285"/>
      <c r="E276" s="286"/>
      <c r="F276" s="7"/>
      <c r="G276" s="7"/>
      <c r="H276" s="7"/>
      <c r="I276" s="287"/>
      <c r="J276" s="288"/>
      <c r="K276" s="288"/>
      <c r="L276" s="7"/>
      <c r="M276" s="28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</row>
    <row r="277" ht="18.75" customHeight="1">
      <c r="A277" s="7"/>
      <c r="B277" s="284"/>
      <c r="C277" s="7"/>
      <c r="D277" s="285"/>
      <c r="E277" s="286"/>
      <c r="F277" s="7"/>
      <c r="G277" s="7"/>
      <c r="H277" s="7"/>
      <c r="I277" s="287"/>
      <c r="J277" s="288"/>
      <c r="K277" s="288"/>
      <c r="L277" s="7"/>
      <c r="M277" s="28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</row>
    <row r="278" ht="18.75" customHeight="1">
      <c r="A278" s="7"/>
      <c r="B278" s="284"/>
      <c r="C278" s="7"/>
      <c r="D278" s="285"/>
      <c r="E278" s="286"/>
      <c r="F278" s="7"/>
      <c r="G278" s="7"/>
      <c r="H278" s="7"/>
      <c r="I278" s="287"/>
      <c r="J278" s="288"/>
      <c r="K278" s="288"/>
      <c r="L278" s="7"/>
      <c r="M278" s="28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</row>
    <row r="279" ht="18.75" customHeight="1">
      <c r="A279" s="7"/>
      <c r="B279" s="284"/>
      <c r="C279" s="7"/>
      <c r="D279" s="285"/>
      <c r="E279" s="286"/>
      <c r="F279" s="7"/>
      <c r="G279" s="7"/>
      <c r="H279" s="7"/>
      <c r="I279" s="287"/>
      <c r="J279" s="288"/>
      <c r="K279" s="288"/>
      <c r="L279" s="7"/>
      <c r="M279" s="28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</row>
    <row r="280" ht="18.75" customHeight="1">
      <c r="A280" s="7"/>
      <c r="B280" s="284"/>
      <c r="C280" s="7"/>
      <c r="D280" s="285"/>
      <c r="E280" s="286"/>
      <c r="F280" s="7"/>
      <c r="G280" s="7"/>
      <c r="H280" s="7"/>
      <c r="I280" s="287"/>
      <c r="J280" s="288"/>
      <c r="K280" s="288"/>
      <c r="L280" s="7"/>
      <c r="M280" s="28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</row>
    <row r="281" ht="18.75" customHeight="1">
      <c r="A281" s="7"/>
      <c r="B281" s="284"/>
      <c r="C281" s="7"/>
      <c r="D281" s="285"/>
      <c r="E281" s="286"/>
      <c r="F281" s="7"/>
      <c r="G281" s="7"/>
      <c r="H281" s="7"/>
      <c r="I281" s="287"/>
      <c r="J281" s="288"/>
      <c r="K281" s="288"/>
      <c r="L281" s="7"/>
      <c r="M281" s="28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</row>
    <row r="282" ht="18.75" customHeight="1">
      <c r="A282" s="7"/>
      <c r="B282" s="284"/>
      <c r="C282" s="7"/>
      <c r="D282" s="285"/>
      <c r="E282" s="286"/>
      <c r="F282" s="7"/>
      <c r="G282" s="7"/>
      <c r="H282" s="7"/>
      <c r="I282" s="287"/>
      <c r="J282" s="288"/>
      <c r="K282" s="288"/>
      <c r="L282" s="7"/>
      <c r="M282" s="28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</row>
    <row r="283" ht="18.75" customHeight="1">
      <c r="A283" s="7"/>
      <c r="B283" s="284"/>
      <c r="C283" s="7"/>
      <c r="D283" s="285"/>
      <c r="E283" s="286"/>
      <c r="F283" s="7"/>
      <c r="G283" s="7"/>
      <c r="H283" s="7"/>
      <c r="I283" s="287"/>
      <c r="J283" s="288"/>
      <c r="K283" s="288"/>
      <c r="L283" s="7"/>
      <c r="M283" s="28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</row>
    <row r="284" ht="18.75" customHeight="1">
      <c r="A284" s="7"/>
      <c r="B284" s="284"/>
      <c r="C284" s="7"/>
      <c r="D284" s="285"/>
      <c r="E284" s="286"/>
      <c r="F284" s="7"/>
      <c r="G284" s="7"/>
      <c r="H284" s="7"/>
      <c r="I284" s="287"/>
      <c r="J284" s="288"/>
      <c r="K284" s="288"/>
      <c r="L284" s="7"/>
      <c r="M284" s="28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</row>
    <row r="285" ht="18.75" customHeight="1">
      <c r="A285" s="7"/>
      <c r="B285" s="284"/>
      <c r="C285" s="7"/>
      <c r="D285" s="285"/>
      <c r="E285" s="286"/>
      <c r="F285" s="7"/>
      <c r="G285" s="7"/>
      <c r="H285" s="7"/>
      <c r="I285" s="287"/>
      <c r="J285" s="288"/>
      <c r="K285" s="288"/>
      <c r="L285" s="7"/>
      <c r="M285" s="28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</row>
    <row r="286" ht="18.75" customHeight="1">
      <c r="A286" s="7"/>
      <c r="B286" s="284"/>
      <c r="C286" s="7"/>
      <c r="D286" s="285"/>
      <c r="E286" s="286"/>
      <c r="F286" s="7"/>
      <c r="G286" s="7"/>
      <c r="H286" s="7"/>
      <c r="I286" s="287"/>
      <c r="J286" s="288"/>
      <c r="K286" s="288"/>
      <c r="L286" s="7"/>
      <c r="M286" s="28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</row>
    <row r="287" ht="18.75" customHeight="1">
      <c r="A287" s="7"/>
      <c r="B287" s="284"/>
      <c r="C287" s="7"/>
      <c r="D287" s="285"/>
      <c r="E287" s="286"/>
      <c r="F287" s="7"/>
      <c r="G287" s="7"/>
      <c r="H287" s="7"/>
      <c r="I287" s="287"/>
      <c r="J287" s="288"/>
      <c r="K287" s="288"/>
      <c r="L287" s="7"/>
      <c r="M287" s="28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</row>
    <row r="288" ht="18.75" customHeight="1">
      <c r="A288" s="7"/>
      <c r="B288" s="284"/>
      <c r="C288" s="7"/>
      <c r="D288" s="285"/>
      <c r="E288" s="286"/>
      <c r="F288" s="7"/>
      <c r="G288" s="7"/>
      <c r="H288" s="7"/>
      <c r="I288" s="287"/>
      <c r="J288" s="288"/>
      <c r="K288" s="288"/>
      <c r="L288" s="7"/>
      <c r="M288" s="28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</row>
    <row r="289" ht="18.75" customHeight="1">
      <c r="A289" s="7"/>
      <c r="B289" s="284"/>
      <c r="C289" s="7"/>
      <c r="D289" s="285"/>
      <c r="E289" s="286"/>
      <c r="F289" s="7"/>
      <c r="G289" s="7"/>
      <c r="H289" s="7"/>
      <c r="I289" s="287"/>
      <c r="J289" s="288"/>
      <c r="K289" s="288"/>
      <c r="L289" s="7"/>
      <c r="M289" s="28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</row>
    <row r="290" ht="18.75" customHeight="1">
      <c r="A290" s="7"/>
      <c r="B290" s="284"/>
      <c r="C290" s="7"/>
      <c r="D290" s="285"/>
      <c r="E290" s="286"/>
      <c r="F290" s="7"/>
      <c r="G290" s="7"/>
      <c r="H290" s="7"/>
      <c r="I290" s="287"/>
      <c r="J290" s="288"/>
      <c r="K290" s="288"/>
      <c r="L290" s="7"/>
      <c r="M290" s="28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</row>
    <row r="291" ht="18.75" customHeight="1">
      <c r="A291" s="7"/>
      <c r="B291" s="284"/>
      <c r="C291" s="7"/>
      <c r="D291" s="285"/>
      <c r="E291" s="286"/>
      <c r="F291" s="7"/>
      <c r="G291" s="7"/>
      <c r="H291" s="7"/>
      <c r="I291" s="287"/>
      <c r="J291" s="288"/>
      <c r="K291" s="288"/>
      <c r="L291" s="7"/>
      <c r="M291" s="28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</row>
    <row r="292" ht="18.75" customHeight="1">
      <c r="A292" s="7"/>
      <c r="B292" s="284"/>
      <c r="C292" s="7"/>
      <c r="D292" s="285"/>
      <c r="E292" s="286"/>
      <c r="F292" s="7"/>
      <c r="G292" s="7"/>
      <c r="H292" s="7"/>
      <c r="I292" s="287"/>
      <c r="J292" s="288"/>
      <c r="K292" s="288"/>
      <c r="L292" s="7"/>
      <c r="M292" s="28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</row>
    <row r="293" ht="18.75" customHeight="1">
      <c r="A293" s="7"/>
      <c r="B293" s="284"/>
      <c r="C293" s="7"/>
      <c r="D293" s="285"/>
      <c r="E293" s="286"/>
      <c r="F293" s="7"/>
      <c r="G293" s="7"/>
      <c r="H293" s="7"/>
      <c r="I293" s="287"/>
      <c r="J293" s="288"/>
      <c r="K293" s="288"/>
      <c r="L293" s="7"/>
      <c r="M293" s="28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</row>
    <row r="294" ht="18.75" customHeight="1">
      <c r="A294" s="7"/>
      <c r="B294" s="284"/>
      <c r="C294" s="7"/>
      <c r="D294" s="285"/>
      <c r="E294" s="286"/>
      <c r="F294" s="7"/>
      <c r="G294" s="7"/>
      <c r="H294" s="7"/>
      <c r="I294" s="287"/>
      <c r="J294" s="288"/>
      <c r="K294" s="288"/>
      <c r="L294" s="7"/>
      <c r="M294" s="28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</row>
    <row r="295" ht="18.75" customHeight="1">
      <c r="A295" s="7"/>
      <c r="B295" s="284"/>
      <c r="C295" s="7"/>
      <c r="D295" s="285"/>
      <c r="E295" s="286"/>
      <c r="F295" s="7"/>
      <c r="G295" s="7"/>
      <c r="H295" s="7"/>
      <c r="I295" s="287"/>
      <c r="J295" s="288"/>
      <c r="K295" s="288"/>
      <c r="L295" s="7"/>
      <c r="M295" s="28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</row>
    <row r="296" ht="18.75" customHeight="1">
      <c r="A296" s="7"/>
      <c r="B296" s="284"/>
      <c r="C296" s="7"/>
      <c r="D296" s="285"/>
      <c r="E296" s="286"/>
      <c r="F296" s="7"/>
      <c r="G296" s="7"/>
      <c r="H296" s="7"/>
      <c r="I296" s="287"/>
      <c r="J296" s="288"/>
      <c r="K296" s="288"/>
      <c r="L296" s="7"/>
      <c r="M296" s="28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</row>
    <row r="297" ht="18.75" customHeight="1">
      <c r="A297" s="7"/>
      <c r="B297" s="284"/>
      <c r="C297" s="7"/>
      <c r="D297" s="285"/>
      <c r="E297" s="286"/>
      <c r="F297" s="7"/>
      <c r="G297" s="7"/>
      <c r="H297" s="7"/>
      <c r="I297" s="287"/>
      <c r="J297" s="288"/>
      <c r="K297" s="288"/>
      <c r="L297" s="7"/>
      <c r="M297" s="28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</row>
    <row r="298" ht="18.75" customHeight="1">
      <c r="A298" s="7"/>
      <c r="B298" s="284"/>
      <c r="C298" s="7"/>
      <c r="D298" s="285"/>
      <c r="E298" s="286"/>
      <c r="F298" s="7"/>
      <c r="G298" s="7"/>
      <c r="H298" s="7"/>
      <c r="I298" s="287"/>
      <c r="J298" s="288"/>
      <c r="K298" s="288"/>
      <c r="L298" s="7"/>
      <c r="M298" s="28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</row>
    <row r="299" ht="18.75" customHeight="1">
      <c r="A299" s="7"/>
      <c r="B299" s="284"/>
      <c r="C299" s="7"/>
      <c r="D299" s="285"/>
      <c r="E299" s="286"/>
      <c r="F299" s="7"/>
      <c r="G299" s="7"/>
      <c r="H299" s="7"/>
      <c r="I299" s="287"/>
      <c r="J299" s="288"/>
      <c r="K299" s="288"/>
      <c r="L299" s="7"/>
      <c r="M299" s="28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</row>
    <row r="300" ht="18.75" customHeight="1">
      <c r="A300" s="7"/>
      <c r="B300" s="284"/>
      <c r="C300" s="7"/>
      <c r="D300" s="285"/>
      <c r="E300" s="286"/>
      <c r="F300" s="7"/>
      <c r="G300" s="7"/>
      <c r="H300" s="7"/>
      <c r="I300" s="287"/>
      <c r="J300" s="288"/>
      <c r="K300" s="288"/>
      <c r="L300" s="7"/>
      <c r="M300" s="28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</row>
    <row r="301" ht="18.75" customHeight="1">
      <c r="A301" s="7"/>
      <c r="B301" s="284"/>
      <c r="C301" s="7"/>
      <c r="D301" s="285"/>
      <c r="E301" s="286"/>
      <c r="F301" s="7"/>
      <c r="G301" s="7"/>
      <c r="H301" s="7"/>
      <c r="I301" s="287"/>
      <c r="J301" s="288"/>
      <c r="K301" s="288"/>
      <c r="L301" s="7"/>
      <c r="M301" s="28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</row>
    <row r="302" ht="18.75" customHeight="1">
      <c r="A302" s="7"/>
      <c r="B302" s="284"/>
      <c r="C302" s="7"/>
      <c r="D302" s="285"/>
      <c r="E302" s="286"/>
      <c r="F302" s="7"/>
      <c r="G302" s="7"/>
      <c r="H302" s="7"/>
      <c r="I302" s="287"/>
      <c r="J302" s="288"/>
      <c r="K302" s="288"/>
      <c r="L302" s="7"/>
      <c r="M302" s="28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</row>
    <row r="303" ht="18.75" customHeight="1">
      <c r="A303" s="7"/>
      <c r="B303" s="284"/>
      <c r="C303" s="7"/>
      <c r="D303" s="285"/>
      <c r="E303" s="286"/>
      <c r="F303" s="7"/>
      <c r="G303" s="7"/>
      <c r="H303" s="7"/>
      <c r="I303" s="287"/>
      <c r="J303" s="288"/>
      <c r="K303" s="288"/>
      <c r="L303" s="7"/>
      <c r="M303" s="28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</row>
    <row r="304" ht="18.75" customHeight="1">
      <c r="A304" s="7"/>
      <c r="B304" s="284"/>
      <c r="C304" s="7"/>
      <c r="D304" s="285"/>
      <c r="E304" s="286"/>
      <c r="F304" s="7"/>
      <c r="G304" s="7"/>
      <c r="H304" s="7"/>
      <c r="I304" s="287"/>
      <c r="J304" s="288"/>
      <c r="K304" s="288"/>
      <c r="L304" s="7"/>
      <c r="M304" s="28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</row>
    <row r="305" ht="18.75" customHeight="1">
      <c r="A305" s="7"/>
      <c r="B305" s="284"/>
      <c r="C305" s="7"/>
      <c r="D305" s="285"/>
      <c r="E305" s="286"/>
      <c r="F305" s="7"/>
      <c r="G305" s="7"/>
      <c r="H305" s="7"/>
      <c r="I305" s="287"/>
      <c r="J305" s="288"/>
      <c r="K305" s="288"/>
      <c r="L305" s="7"/>
      <c r="M305" s="28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</row>
    <row r="306" ht="18.75" customHeight="1">
      <c r="A306" s="7"/>
      <c r="B306" s="284"/>
      <c r="C306" s="7"/>
      <c r="D306" s="285"/>
      <c r="E306" s="286"/>
      <c r="F306" s="7"/>
      <c r="G306" s="7"/>
      <c r="H306" s="7"/>
      <c r="I306" s="287"/>
      <c r="J306" s="288"/>
      <c r="K306" s="288"/>
      <c r="L306" s="7"/>
      <c r="M306" s="28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</row>
    <row r="307" ht="18.75" customHeight="1">
      <c r="A307" s="7"/>
      <c r="B307" s="284"/>
      <c r="C307" s="7"/>
      <c r="D307" s="285"/>
      <c r="E307" s="286"/>
      <c r="F307" s="7"/>
      <c r="G307" s="7"/>
      <c r="H307" s="7"/>
      <c r="I307" s="287"/>
      <c r="J307" s="288"/>
      <c r="K307" s="288"/>
      <c r="L307" s="7"/>
      <c r="M307" s="28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</row>
    <row r="308" ht="18.75" customHeight="1">
      <c r="A308" s="7"/>
      <c r="B308" s="284"/>
      <c r="C308" s="7"/>
      <c r="D308" s="285"/>
      <c r="E308" s="286"/>
      <c r="F308" s="7"/>
      <c r="G308" s="7"/>
      <c r="H308" s="7"/>
      <c r="I308" s="287"/>
      <c r="J308" s="288"/>
      <c r="K308" s="288"/>
      <c r="L308" s="7"/>
      <c r="M308" s="28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</row>
    <row r="309" ht="18.75" customHeight="1">
      <c r="A309" s="7"/>
      <c r="B309" s="284"/>
      <c r="C309" s="7"/>
      <c r="D309" s="285"/>
      <c r="E309" s="286"/>
      <c r="F309" s="7"/>
      <c r="G309" s="7"/>
      <c r="H309" s="7"/>
      <c r="I309" s="287"/>
      <c r="J309" s="288"/>
      <c r="K309" s="288"/>
      <c r="L309" s="7"/>
      <c r="M309" s="28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</row>
    <row r="310" ht="18.75" customHeight="1">
      <c r="A310" s="7"/>
      <c r="B310" s="284"/>
      <c r="C310" s="7"/>
      <c r="D310" s="285"/>
      <c r="E310" s="286"/>
      <c r="F310" s="7"/>
      <c r="G310" s="7"/>
      <c r="H310" s="7"/>
      <c r="I310" s="287"/>
      <c r="J310" s="288"/>
      <c r="K310" s="288"/>
      <c r="L310" s="7"/>
      <c r="M310" s="28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</row>
    <row r="311" ht="18.75" customHeight="1">
      <c r="A311" s="7"/>
      <c r="B311" s="284"/>
      <c r="C311" s="7"/>
      <c r="D311" s="285"/>
      <c r="E311" s="286"/>
      <c r="F311" s="7"/>
      <c r="G311" s="7"/>
      <c r="H311" s="7"/>
      <c r="I311" s="287"/>
      <c r="J311" s="288"/>
      <c r="K311" s="288"/>
      <c r="L311" s="7"/>
      <c r="M311" s="28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</row>
    <row r="312" ht="18.75" customHeight="1">
      <c r="A312" s="7"/>
      <c r="B312" s="284"/>
      <c r="C312" s="7"/>
      <c r="D312" s="285"/>
      <c r="E312" s="286"/>
      <c r="F312" s="7"/>
      <c r="G312" s="7"/>
      <c r="H312" s="7"/>
      <c r="I312" s="287"/>
      <c r="J312" s="288"/>
      <c r="K312" s="288"/>
      <c r="L312" s="7"/>
      <c r="M312" s="28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</row>
    <row r="313" ht="18.75" customHeight="1">
      <c r="A313" s="7"/>
      <c r="B313" s="284"/>
      <c r="C313" s="7"/>
      <c r="D313" s="285"/>
      <c r="E313" s="286"/>
      <c r="F313" s="7"/>
      <c r="G313" s="7"/>
      <c r="H313" s="7"/>
      <c r="I313" s="287"/>
      <c r="J313" s="288"/>
      <c r="K313" s="288"/>
      <c r="L313" s="7"/>
      <c r="M313" s="28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</row>
    <row r="314" ht="18.75" customHeight="1">
      <c r="A314" s="7"/>
      <c r="B314" s="284"/>
      <c r="C314" s="7"/>
      <c r="D314" s="285"/>
      <c r="E314" s="286"/>
      <c r="F314" s="7"/>
      <c r="G314" s="7"/>
      <c r="H314" s="7"/>
      <c r="I314" s="287"/>
      <c r="J314" s="288"/>
      <c r="K314" s="288"/>
      <c r="L314" s="7"/>
      <c r="M314" s="28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</row>
    <row r="315" ht="18.75" customHeight="1">
      <c r="A315" s="7"/>
      <c r="B315" s="284"/>
      <c r="C315" s="7"/>
      <c r="D315" s="285"/>
      <c r="E315" s="286"/>
      <c r="F315" s="7"/>
      <c r="G315" s="7"/>
      <c r="H315" s="7"/>
      <c r="I315" s="287"/>
      <c r="J315" s="288"/>
      <c r="K315" s="288"/>
      <c r="L315" s="7"/>
      <c r="M315" s="28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</row>
    <row r="316" ht="18.75" customHeight="1">
      <c r="A316" s="7"/>
      <c r="B316" s="284"/>
      <c r="C316" s="7"/>
      <c r="D316" s="285"/>
      <c r="E316" s="286"/>
      <c r="F316" s="7"/>
      <c r="G316" s="7"/>
      <c r="H316" s="7"/>
      <c r="I316" s="287"/>
      <c r="J316" s="288"/>
      <c r="K316" s="288"/>
      <c r="L316" s="7"/>
      <c r="M316" s="28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</row>
    <row r="317" ht="18.75" customHeight="1">
      <c r="A317" s="7"/>
      <c r="B317" s="284"/>
      <c r="C317" s="7"/>
      <c r="D317" s="285"/>
      <c r="E317" s="286"/>
      <c r="F317" s="7"/>
      <c r="G317" s="7"/>
      <c r="H317" s="7"/>
      <c r="I317" s="287"/>
      <c r="J317" s="288"/>
      <c r="K317" s="288"/>
      <c r="L317" s="7"/>
      <c r="M317" s="28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</row>
    <row r="318" ht="18.75" customHeight="1">
      <c r="A318" s="7"/>
      <c r="B318" s="284"/>
      <c r="C318" s="7"/>
      <c r="D318" s="285"/>
      <c r="E318" s="286"/>
      <c r="F318" s="7"/>
      <c r="G318" s="7"/>
      <c r="H318" s="7"/>
      <c r="I318" s="287"/>
      <c r="J318" s="288"/>
      <c r="K318" s="288"/>
      <c r="L318" s="7"/>
      <c r="M318" s="28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</row>
    <row r="319" ht="18.75" customHeight="1">
      <c r="A319" s="7"/>
      <c r="B319" s="284"/>
      <c r="C319" s="7"/>
      <c r="D319" s="285"/>
      <c r="E319" s="286"/>
      <c r="F319" s="7"/>
      <c r="G319" s="7"/>
      <c r="H319" s="7"/>
      <c r="I319" s="287"/>
      <c r="J319" s="288"/>
      <c r="K319" s="288"/>
      <c r="L319" s="7"/>
      <c r="M319" s="28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</row>
    <row r="320" ht="18.75" customHeight="1">
      <c r="A320" s="7"/>
      <c r="B320" s="284"/>
      <c r="C320" s="7"/>
      <c r="D320" s="285"/>
      <c r="E320" s="286"/>
      <c r="F320" s="7"/>
      <c r="G320" s="7"/>
      <c r="H320" s="7"/>
      <c r="I320" s="287"/>
      <c r="J320" s="288"/>
      <c r="K320" s="288"/>
      <c r="L320" s="7"/>
      <c r="M320" s="28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</row>
    <row r="321" ht="18.75" customHeight="1">
      <c r="A321" s="7"/>
      <c r="B321" s="284"/>
      <c r="C321" s="7"/>
      <c r="D321" s="285"/>
      <c r="E321" s="286"/>
      <c r="F321" s="7"/>
      <c r="G321" s="7"/>
      <c r="H321" s="7"/>
      <c r="I321" s="287"/>
      <c r="J321" s="288"/>
      <c r="K321" s="288"/>
      <c r="L321" s="7"/>
      <c r="M321" s="28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</row>
    <row r="322" ht="18.75" customHeight="1">
      <c r="A322" s="7"/>
      <c r="B322" s="284"/>
      <c r="C322" s="7"/>
      <c r="D322" s="285"/>
      <c r="E322" s="286"/>
      <c r="F322" s="7"/>
      <c r="G322" s="7"/>
      <c r="H322" s="7"/>
      <c r="I322" s="287"/>
      <c r="J322" s="288"/>
      <c r="K322" s="288"/>
      <c r="L322" s="7"/>
      <c r="M322" s="28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</row>
    <row r="323" ht="18.75" customHeight="1">
      <c r="A323" s="7"/>
      <c r="B323" s="284"/>
      <c r="C323" s="7"/>
      <c r="D323" s="285"/>
      <c r="E323" s="286"/>
      <c r="F323" s="7"/>
      <c r="G323" s="7"/>
      <c r="H323" s="7"/>
      <c r="I323" s="287"/>
      <c r="J323" s="288"/>
      <c r="K323" s="288"/>
      <c r="L323" s="7"/>
      <c r="M323" s="28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</row>
    <row r="324" ht="18.75" customHeight="1">
      <c r="A324" s="7"/>
      <c r="B324" s="284"/>
      <c r="C324" s="7"/>
      <c r="D324" s="285"/>
      <c r="E324" s="286"/>
      <c r="F324" s="7"/>
      <c r="G324" s="7"/>
      <c r="H324" s="7"/>
      <c r="I324" s="287"/>
      <c r="J324" s="288"/>
      <c r="K324" s="288"/>
      <c r="L324" s="7"/>
      <c r="M324" s="28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</row>
    <row r="325" ht="18.75" customHeight="1">
      <c r="A325" s="7"/>
      <c r="B325" s="284"/>
      <c r="C325" s="7"/>
      <c r="D325" s="285"/>
      <c r="E325" s="286"/>
      <c r="F325" s="7"/>
      <c r="G325" s="7"/>
      <c r="H325" s="7"/>
      <c r="I325" s="287"/>
      <c r="J325" s="288"/>
      <c r="K325" s="288"/>
      <c r="L325" s="7"/>
      <c r="M325" s="28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</row>
    <row r="326" ht="18.75" customHeight="1">
      <c r="A326" s="7"/>
      <c r="B326" s="284"/>
      <c r="C326" s="7"/>
      <c r="D326" s="285"/>
      <c r="E326" s="286"/>
      <c r="F326" s="7"/>
      <c r="G326" s="7"/>
      <c r="H326" s="7"/>
      <c r="I326" s="287"/>
      <c r="J326" s="288"/>
      <c r="K326" s="288"/>
      <c r="L326" s="7"/>
      <c r="M326" s="28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</row>
    <row r="327" ht="18.75" customHeight="1">
      <c r="A327" s="7"/>
      <c r="B327" s="284"/>
      <c r="C327" s="7"/>
      <c r="D327" s="285"/>
      <c r="E327" s="286"/>
      <c r="F327" s="7"/>
      <c r="G327" s="7"/>
      <c r="H327" s="7"/>
      <c r="I327" s="287"/>
      <c r="J327" s="288"/>
      <c r="K327" s="288"/>
      <c r="L327" s="7"/>
      <c r="M327" s="28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</row>
    <row r="328" ht="18.75" customHeight="1">
      <c r="A328" s="7"/>
      <c r="B328" s="284"/>
      <c r="C328" s="7"/>
      <c r="D328" s="285"/>
      <c r="E328" s="286"/>
      <c r="F328" s="7"/>
      <c r="G328" s="7"/>
      <c r="H328" s="7"/>
      <c r="I328" s="287"/>
      <c r="J328" s="288"/>
      <c r="K328" s="288"/>
      <c r="L328" s="7"/>
      <c r="M328" s="28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</row>
    <row r="329" ht="18.75" customHeight="1">
      <c r="A329" s="7"/>
      <c r="B329" s="284"/>
      <c r="C329" s="7"/>
      <c r="D329" s="285"/>
      <c r="E329" s="286"/>
      <c r="F329" s="7"/>
      <c r="G329" s="7"/>
      <c r="H329" s="7"/>
      <c r="I329" s="287"/>
      <c r="J329" s="288"/>
      <c r="K329" s="288"/>
      <c r="L329" s="7"/>
      <c r="M329" s="28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</row>
    <row r="330" ht="18.75" customHeight="1">
      <c r="A330" s="7"/>
      <c r="B330" s="284"/>
      <c r="C330" s="7"/>
      <c r="D330" s="285"/>
      <c r="E330" s="286"/>
      <c r="F330" s="7"/>
      <c r="G330" s="7"/>
      <c r="H330" s="7"/>
      <c r="I330" s="287"/>
      <c r="J330" s="288"/>
      <c r="K330" s="288"/>
      <c r="L330" s="7"/>
      <c r="M330" s="28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</row>
    <row r="331" ht="18.75" customHeight="1">
      <c r="A331" s="7"/>
      <c r="B331" s="284"/>
      <c r="C331" s="7"/>
      <c r="D331" s="285"/>
      <c r="E331" s="286"/>
      <c r="F331" s="7"/>
      <c r="G331" s="7"/>
      <c r="H331" s="7"/>
      <c r="I331" s="287"/>
      <c r="J331" s="288"/>
      <c r="K331" s="288"/>
      <c r="L331" s="7"/>
      <c r="M331" s="28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</row>
    <row r="332" ht="18.75" customHeight="1">
      <c r="A332" s="7"/>
      <c r="B332" s="284"/>
      <c r="C332" s="7"/>
      <c r="D332" s="285"/>
      <c r="E332" s="286"/>
      <c r="F332" s="7"/>
      <c r="G332" s="7"/>
      <c r="H332" s="7"/>
      <c r="I332" s="287"/>
      <c r="J332" s="288"/>
      <c r="K332" s="288"/>
      <c r="L332" s="7"/>
      <c r="M332" s="28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</row>
    <row r="333" ht="18.75" customHeight="1">
      <c r="A333" s="7"/>
      <c r="B333" s="284"/>
      <c r="C333" s="7"/>
      <c r="D333" s="285"/>
      <c r="E333" s="286"/>
      <c r="F333" s="7"/>
      <c r="G333" s="7"/>
      <c r="H333" s="7"/>
      <c r="I333" s="287"/>
      <c r="J333" s="288"/>
      <c r="K333" s="288"/>
      <c r="L333" s="7"/>
      <c r="M333" s="28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</row>
    <row r="334" ht="18.75" customHeight="1">
      <c r="A334" s="7"/>
      <c r="B334" s="284"/>
      <c r="C334" s="7"/>
      <c r="D334" s="285"/>
      <c r="E334" s="286"/>
      <c r="F334" s="7"/>
      <c r="G334" s="7"/>
      <c r="H334" s="7"/>
      <c r="I334" s="287"/>
      <c r="J334" s="288"/>
      <c r="K334" s="288"/>
      <c r="L334" s="7"/>
      <c r="M334" s="28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</row>
    <row r="335" ht="18.75" customHeight="1">
      <c r="A335" s="7"/>
      <c r="B335" s="284"/>
      <c r="C335" s="7"/>
      <c r="D335" s="285"/>
      <c r="E335" s="286"/>
      <c r="F335" s="7"/>
      <c r="G335" s="7"/>
      <c r="H335" s="7"/>
      <c r="I335" s="287"/>
      <c r="J335" s="288"/>
      <c r="K335" s="288"/>
      <c r="L335" s="7"/>
      <c r="M335" s="28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</row>
    <row r="336" ht="18.75" customHeight="1">
      <c r="A336" s="7"/>
      <c r="B336" s="284"/>
      <c r="C336" s="7"/>
      <c r="D336" s="285"/>
      <c r="E336" s="286"/>
      <c r="F336" s="7"/>
      <c r="G336" s="7"/>
      <c r="H336" s="7"/>
      <c r="I336" s="287"/>
      <c r="J336" s="288"/>
      <c r="K336" s="288"/>
      <c r="L336" s="7"/>
      <c r="M336" s="28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</row>
    <row r="337" ht="18.75" customHeight="1">
      <c r="A337" s="7"/>
      <c r="B337" s="284"/>
      <c r="C337" s="7"/>
      <c r="D337" s="285"/>
      <c r="E337" s="286"/>
      <c r="F337" s="7"/>
      <c r="G337" s="7"/>
      <c r="H337" s="7"/>
      <c r="I337" s="287"/>
      <c r="J337" s="288"/>
      <c r="K337" s="288"/>
      <c r="L337" s="7"/>
      <c r="M337" s="28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</row>
    <row r="338" ht="18.75" customHeight="1">
      <c r="A338" s="7"/>
      <c r="B338" s="284"/>
      <c r="C338" s="7"/>
      <c r="D338" s="285"/>
      <c r="E338" s="286"/>
      <c r="F338" s="7"/>
      <c r="G338" s="7"/>
      <c r="H338" s="7"/>
      <c r="I338" s="287"/>
      <c r="J338" s="288"/>
      <c r="K338" s="288"/>
      <c r="L338" s="7"/>
      <c r="M338" s="28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</row>
    <row r="339" ht="18.75" customHeight="1">
      <c r="A339" s="7"/>
      <c r="B339" s="284"/>
      <c r="C339" s="7"/>
      <c r="D339" s="285"/>
      <c r="E339" s="286"/>
      <c r="F339" s="7"/>
      <c r="G339" s="7"/>
      <c r="H339" s="7"/>
      <c r="I339" s="287"/>
      <c r="J339" s="288"/>
      <c r="K339" s="288"/>
      <c r="L339" s="7"/>
      <c r="M339" s="28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</row>
    <row r="340" ht="18.75" customHeight="1">
      <c r="A340" s="7"/>
      <c r="B340" s="284"/>
      <c r="C340" s="7"/>
      <c r="D340" s="285"/>
      <c r="E340" s="286"/>
      <c r="F340" s="7"/>
      <c r="G340" s="7"/>
      <c r="H340" s="7"/>
      <c r="I340" s="287"/>
      <c r="J340" s="288"/>
      <c r="K340" s="288"/>
      <c r="L340" s="7"/>
      <c r="M340" s="28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</row>
    <row r="341" ht="18.75" customHeight="1">
      <c r="A341" s="7"/>
      <c r="B341" s="284"/>
      <c r="C341" s="7"/>
      <c r="D341" s="285"/>
      <c r="E341" s="286"/>
      <c r="F341" s="7"/>
      <c r="G341" s="7"/>
      <c r="H341" s="7"/>
      <c r="I341" s="287"/>
      <c r="J341" s="288"/>
      <c r="K341" s="288"/>
      <c r="L341" s="7"/>
      <c r="M341" s="28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</row>
    <row r="342" ht="18.75" customHeight="1">
      <c r="A342" s="7"/>
      <c r="B342" s="284"/>
      <c r="C342" s="7"/>
      <c r="D342" s="285"/>
      <c r="E342" s="286"/>
      <c r="F342" s="7"/>
      <c r="G342" s="7"/>
      <c r="H342" s="7"/>
      <c r="I342" s="287"/>
      <c r="J342" s="288"/>
      <c r="K342" s="288"/>
      <c r="L342" s="7"/>
      <c r="M342" s="28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</row>
    <row r="343" ht="18.75" customHeight="1">
      <c r="A343" s="7"/>
      <c r="B343" s="284"/>
      <c r="C343" s="7"/>
      <c r="D343" s="285"/>
      <c r="E343" s="286"/>
      <c r="F343" s="7"/>
      <c r="G343" s="7"/>
      <c r="H343" s="7"/>
      <c r="I343" s="287"/>
      <c r="J343" s="288"/>
      <c r="K343" s="288"/>
      <c r="L343" s="7"/>
      <c r="M343" s="28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</row>
    <row r="344" ht="18.75" customHeight="1">
      <c r="A344" s="7"/>
      <c r="B344" s="284"/>
      <c r="C344" s="7"/>
      <c r="D344" s="285"/>
      <c r="E344" s="286"/>
      <c r="F344" s="7"/>
      <c r="G344" s="7"/>
      <c r="H344" s="7"/>
      <c r="I344" s="287"/>
      <c r="J344" s="288"/>
      <c r="K344" s="288"/>
      <c r="L344" s="7"/>
      <c r="M344" s="28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</row>
    <row r="345" ht="18.75" customHeight="1">
      <c r="A345" s="7"/>
      <c r="B345" s="284"/>
      <c r="C345" s="7"/>
      <c r="D345" s="285"/>
      <c r="E345" s="286"/>
      <c r="F345" s="7"/>
      <c r="G345" s="7"/>
      <c r="H345" s="7"/>
      <c r="I345" s="287"/>
      <c r="J345" s="288"/>
      <c r="K345" s="288"/>
      <c r="L345" s="7"/>
      <c r="M345" s="28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</row>
    <row r="346" ht="18.75" customHeight="1">
      <c r="A346" s="7"/>
      <c r="B346" s="284"/>
      <c r="C346" s="7"/>
      <c r="D346" s="285"/>
      <c r="E346" s="286"/>
      <c r="F346" s="7"/>
      <c r="G346" s="7"/>
      <c r="H346" s="7"/>
      <c r="I346" s="287"/>
      <c r="J346" s="288"/>
      <c r="K346" s="288"/>
      <c r="L346" s="7"/>
      <c r="M346" s="28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</row>
    <row r="347" ht="18.75" customHeight="1">
      <c r="A347" s="7"/>
      <c r="B347" s="284"/>
      <c r="C347" s="7"/>
      <c r="D347" s="285"/>
      <c r="E347" s="286"/>
      <c r="F347" s="7"/>
      <c r="G347" s="7"/>
      <c r="H347" s="7"/>
      <c r="I347" s="287"/>
      <c r="J347" s="288"/>
      <c r="K347" s="288"/>
      <c r="L347" s="7"/>
      <c r="M347" s="28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</row>
    <row r="348" ht="18.75" customHeight="1">
      <c r="A348" s="7"/>
      <c r="B348" s="284"/>
      <c r="C348" s="7"/>
      <c r="D348" s="285"/>
      <c r="E348" s="286"/>
      <c r="F348" s="7"/>
      <c r="G348" s="7"/>
      <c r="H348" s="7"/>
      <c r="I348" s="287"/>
      <c r="J348" s="288"/>
      <c r="K348" s="288"/>
      <c r="L348" s="7"/>
      <c r="M348" s="28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</row>
    <row r="349" ht="18.75" customHeight="1">
      <c r="A349" s="7"/>
      <c r="B349" s="284"/>
      <c r="C349" s="7"/>
      <c r="D349" s="285"/>
      <c r="E349" s="286"/>
      <c r="F349" s="7"/>
      <c r="G349" s="7"/>
      <c r="H349" s="7"/>
      <c r="I349" s="287"/>
      <c r="J349" s="288"/>
      <c r="K349" s="288"/>
      <c r="L349" s="7"/>
      <c r="M349" s="28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</row>
    <row r="350" ht="18.75" customHeight="1">
      <c r="A350" s="7"/>
      <c r="B350" s="284"/>
      <c r="C350" s="7"/>
      <c r="D350" s="285"/>
      <c r="E350" s="286"/>
      <c r="F350" s="7"/>
      <c r="G350" s="7"/>
      <c r="H350" s="7"/>
      <c r="I350" s="287"/>
      <c r="J350" s="288"/>
      <c r="K350" s="288"/>
      <c r="L350" s="7"/>
      <c r="M350" s="28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</row>
    <row r="351" ht="18.75" customHeight="1">
      <c r="A351" s="7"/>
      <c r="B351" s="284"/>
      <c r="C351" s="7"/>
      <c r="D351" s="285"/>
      <c r="E351" s="286"/>
      <c r="F351" s="7"/>
      <c r="G351" s="7"/>
      <c r="H351" s="7"/>
      <c r="I351" s="287"/>
      <c r="J351" s="288"/>
      <c r="K351" s="288"/>
      <c r="L351" s="7"/>
      <c r="M351" s="28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</row>
    <row r="352" ht="18.75" customHeight="1">
      <c r="A352" s="7"/>
      <c r="B352" s="284"/>
      <c r="C352" s="7"/>
      <c r="D352" s="285"/>
      <c r="E352" s="286"/>
      <c r="F352" s="7"/>
      <c r="G352" s="7"/>
      <c r="H352" s="7"/>
      <c r="I352" s="287"/>
      <c r="J352" s="288"/>
      <c r="K352" s="288"/>
      <c r="L352" s="7"/>
      <c r="M352" s="28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</row>
    <row r="353" ht="18.75" customHeight="1">
      <c r="A353" s="7"/>
      <c r="B353" s="284"/>
      <c r="C353" s="7"/>
      <c r="D353" s="285"/>
      <c r="E353" s="286"/>
      <c r="F353" s="7"/>
      <c r="G353" s="7"/>
      <c r="H353" s="7"/>
      <c r="I353" s="287"/>
      <c r="J353" s="288"/>
      <c r="K353" s="288"/>
      <c r="L353" s="7"/>
      <c r="M353" s="28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</row>
    <row r="354" ht="18.75" customHeight="1">
      <c r="A354" s="7"/>
      <c r="B354" s="284"/>
      <c r="C354" s="7"/>
      <c r="D354" s="285"/>
      <c r="E354" s="286"/>
      <c r="F354" s="7"/>
      <c r="G354" s="7"/>
      <c r="H354" s="7"/>
      <c r="I354" s="287"/>
      <c r="J354" s="288"/>
      <c r="K354" s="288"/>
      <c r="L354" s="7"/>
      <c r="M354" s="28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</row>
    <row r="355" ht="18.75" customHeight="1">
      <c r="A355" s="7"/>
      <c r="B355" s="284"/>
      <c r="C355" s="7"/>
      <c r="D355" s="285"/>
      <c r="E355" s="286"/>
      <c r="F355" s="7"/>
      <c r="G355" s="7"/>
      <c r="H355" s="7"/>
      <c r="I355" s="287"/>
      <c r="J355" s="288"/>
      <c r="K355" s="288"/>
      <c r="L355" s="7"/>
      <c r="M355" s="28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</row>
    <row r="356" ht="18.75" customHeight="1">
      <c r="A356" s="7"/>
      <c r="B356" s="284"/>
      <c r="C356" s="7"/>
      <c r="D356" s="285"/>
      <c r="E356" s="286"/>
      <c r="F356" s="7"/>
      <c r="G356" s="7"/>
      <c r="H356" s="7"/>
      <c r="I356" s="287"/>
      <c r="J356" s="288"/>
      <c r="K356" s="288"/>
      <c r="L356" s="7"/>
      <c r="M356" s="28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</row>
    <row r="357" ht="18.75" customHeight="1">
      <c r="A357" s="7"/>
      <c r="B357" s="284"/>
      <c r="C357" s="7"/>
      <c r="D357" s="285"/>
      <c r="E357" s="286"/>
      <c r="F357" s="7"/>
      <c r="G357" s="7"/>
      <c r="H357" s="7"/>
      <c r="I357" s="287"/>
      <c r="J357" s="288"/>
      <c r="K357" s="288"/>
      <c r="L357" s="7"/>
      <c r="M357" s="28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</row>
    <row r="358" ht="18.75" customHeight="1">
      <c r="A358" s="7"/>
      <c r="B358" s="284"/>
      <c r="C358" s="7"/>
      <c r="D358" s="285"/>
      <c r="E358" s="286"/>
      <c r="F358" s="7"/>
      <c r="G358" s="7"/>
      <c r="H358" s="7"/>
      <c r="I358" s="287"/>
      <c r="J358" s="288"/>
      <c r="K358" s="288"/>
      <c r="L358" s="7"/>
      <c r="M358" s="28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</row>
    <row r="359" ht="18.75" customHeight="1">
      <c r="A359" s="7"/>
      <c r="B359" s="284"/>
      <c r="C359" s="7"/>
      <c r="D359" s="285"/>
      <c r="E359" s="286"/>
      <c r="F359" s="7"/>
      <c r="G359" s="7"/>
      <c r="H359" s="7"/>
      <c r="I359" s="287"/>
      <c r="J359" s="288"/>
      <c r="K359" s="288"/>
      <c r="L359" s="7"/>
      <c r="M359" s="28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</row>
    <row r="360" ht="18.75" customHeight="1">
      <c r="A360" s="7"/>
      <c r="B360" s="284"/>
      <c r="C360" s="7"/>
      <c r="D360" s="285"/>
      <c r="E360" s="286"/>
      <c r="F360" s="7"/>
      <c r="G360" s="7"/>
      <c r="H360" s="7"/>
      <c r="I360" s="287"/>
      <c r="J360" s="288"/>
      <c r="K360" s="288"/>
      <c r="L360" s="7"/>
      <c r="M360" s="28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</row>
    <row r="361" ht="18.75" customHeight="1">
      <c r="A361" s="7"/>
      <c r="B361" s="284"/>
      <c r="C361" s="7"/>
      <c r="D361" s="285"/>
      <c r="E361" s="286"/>
      <c r="F361" s="7"/>
      <c r="G361" s="7"/>
      <c r="H361" s="7"/>
      <c r="I361" s="287"/>
      <c r="J361" s="288"/>
      <c r="K361" s="288"/>
      <c r="L361" s="7"/>
      <c r="M361" s="28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</row>
    <row r="362" ht="18.75" customHeight="1">
      <c r="A362" s="7"/>
      <c r="B362" s="284"/>
      <c r="C362" s="7"/>
      <c r="D362" s="285"/>
      <c r="E362" s="286"/>
      <c r="F362" s="7"/>
      <c r="G362" s="7"/>
      <c r="H362" s="7"/>
      <c r="I362" s="287"/>
      <c r="J362" s="288"/>
      <c r="K362" s="288"/>
      <c r="L362" s="7"/>
      <c r="M362" s="28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</row>
    <row r="363" ht="18.75" customHeight="1">
      <c r="A363" s="7"/>
      <c r="B363" s="284"/>
      <c r="C363" s="7"/>
      <c r="D363" s="285"/>
      <c r="E363" s="286"/>
      <c r="F363" s="7"/>
      <c r="G363" s="7"/>
      <c r="H363" s="7"/>
      <c r="I363" s="287"/>
      <c r="J363" s="288"/>
      <c r="K363" s="288"/>
      <c r="L363" s="7"/>
      <c r="M363" s="28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</row>
    <row r="364" ht="18.75" customHeight="1">
      <c r="A364" s="7"/>
      <c r="B364" s="284"/>
      <c r="C364" s="7"/>
      <c r="D364" s="285"/>
      <c r="E364" s="286"/>
      <c r="F364" s="7"/>
      <c r="G364" s="7"/>
      <c r="H364" s="7"/>
      <c r="I364" s="287"/>
      <c r="J364" s="288"/>
      <c r="K364" s="288"/>
      <c r="L364" s="7"/>
      <c r="M364" s="28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</row>
    <row r="365" ht="18.75" customHeight="1">
      <c r="A365" s="7"/>
      <c r="B365" s="284"/>
      <c r="C365" s="7"/>
      <c r="D365" s="285"/>
      <c r="E365" s="286"/>
      <c r="F365" s="7"/>
      <c r="G365" s="7"/>
      <c r="H365" s="7"/>
      <c r="I365" s="287"/>
      <c r="J365" s="288"/>
      <c r="K365" s="288"/>
      <c r="L365" s="7"/>
      <c r="M365" s="28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</row>
    <row r="366" ht="18.75" customHeight="1">
      <c r="A366" s="7"/>
      <c r="B366" s="284"/>
      <c r="C366" s="7"/>
      <c r="D366" s="285"/>
      <c r="E366" s="286"/>
      <c r="F366" s="7"/>
      <c r="G366" s="7"/>
      <c r="H366" s="7"/>
      <c r="I366" s="287"/>
      <c r="J366" s="288"/>
      <c r="K366" s="288"/>
      <c r="L366" s="7"/>
      <c r="M366" s="28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</row>
    <row r="367" ht="18.75" customHeight="1">
      <c r="A367" s="7"/>
      <c r="B367" s="284"/>
      <c r="C367" s="7"/>
      <c r="D367" s="285"/>
      <c r="E367" s="286"/>
      <c r="F367" s="7"/>
      <c r="G367" s="7"/>
      <c r="H367" s="7"/>
      <c r="I367" s="287"/>
      <c r="J367" s="288"/>
      <c r="K367" s="288"/>
      <c r="L367" s="7"/>
      <c r="M367" s="28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</row>
    <row r="368" ht="18.75" customHeight="1">
      <c r="A368" s="7"/>
      <c r="B368" s="284"/>
      <c r="C368" s="7"/>
      <c r="D368" s="285"/>
      <c r="E368" s="286"/>
      <c r="F368" s="7"/>
      <c r="G368" s="7"/>
      <c r="H368" s="7"/>
      <c r="I368" s="287"/>
      <c r="J368" s="288"/>
      <c r="K368" s="288"/>
      <c r="L368" s="7"/>
      <c r="M368" s="28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</row>
    <row r="369" ht="18.75" customHeight="1">
      <c r="A369" s="7"/>
      <c r="B369" s="284"/>
      <c r="C369" s="7"/>
      <c r="D369" s="285"/>
      <c r="E369" s="286"/>
      <c r="F369" s="7"/>
      <c r="G369" s="7"/>
      <c r="H369" s="7"/>
      <c r="I369" s="287"/>
      <c r="J369" s="288"/>
      <c r="K369" s="288"/>
      <c r="L369" s="7"/>
      <c r="M369" s="28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</row>
    <row r="370" ht="18.75" customHeight="1">
      <c r="A370" s="7"/>
      <c r="B370" s="284"/>
      <c r="C370" s="7"/>
      <c r="D370" s="285"/>
      <c r="E370" s="286"/>
      <c r="F370" s="7"/>
      <c r="G370" s="7"/>
      <c r="H370" s="7"/>
      <c r="I370" s="287"/>
      <c r="J370" s="288"/>
      <c r="K370" s="288"/>
      <c r="L370" s="7"/>
      <c r="M370" s="28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</row>
    <row r="371" ht="18.75" customHeight="1">
      <c r="A371" s="7"/>
      <c r="B371" s="284"/>
      <c r="C371" s="7"/>
      <c r="D371" s="285"/>
      <c r="E371" s="286"/>
      <c r="F371" s="7"/>
      <c r="G371" s="7"/>
      <c r="H371" s="7"/>
      <c r="I371" s="287"/>
      <c r="J371" s="288"/>
      <c r="K371" s="288"/>
      <c r="L371" s="7"/>
      <c r="M371" s="28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</row>
    <row r="372" ht="18.75" customHeight="1">
      <c r="A372" s="7"/>
      <c r="B372" s="284"/>
      <c r="C372" s="7"/>
      <c r="D372" s="285"/>
      <c r="E372" s="286"/>
      <c r="F372" s="7"/>
      <c r="G372" s="7"/>
      <c r="H372" s="7"/>
      <c r="I372" s="287"/>
      <c r="J372" s="288"/>
      <c r="K372" s="288"/>
      <c r="L372" s="7"/>
      <c r="M372" s="28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</row>
    <row r="373" ht="18.75" customHeight="1">
      <c r="A373" s="7"/>
      <c r="B373" s="284"/>
      <c r="C373" s="7"/>
      <c r="D373" s="285"/>
      <c r="E373" s="286"/>
      <c r="F373" s="7"/>
      <c r="G373" s="7"/>
      <c r="H373" s="7"/>
      <c r="I373" s="287"/>
      <c r="J373" s="288"/>
      <c r="K373" s="288"/>
      <c r="L373" s="7"/>
      <c r="M373" s="28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</row>
    <row r="374" ht="18.75" customHeight="1">
      <c r="A374" s="7"/>
      <c r="B374" s="284"/>
      <c r="C374" s="7"/>
      <c r="D374" s="285"/>
      <c r="E374" s="286"/>
      <c r="F374" s="7"/>
      <c r="G374" s="7"/>
      <c r="H374" s="7"/>
      <c r="I374" s="287"/>
      <c r="J374" s="288"/>
      <c r="K374" s="288"/>
      <c r="L374" s="7"/>
      <c r="M374" s="28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</row>
    <row r="375" ht="18.75" customHeight="1">
      <c r="A375" s="7"/>
      <c r="B375" s="284"/>
      <c r="C375" s="7"/>
      <c r="D375" s="285"/>
      <c r="E375" s="286"/>
      <c r="F375" s="7"/>
      <c r="G375" s="7"/>
      <c r="H375" s="7"/>
      <c r="I375" s="287"/>
      <c r="J375" s="288"/>
      <c r="K375" s="288"/>
      <c r="L375" s="7"/>
      <c r="M375" s="28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</row>
    <row r="376" ht="18.75" customHeight="1">
      <c r="A376" s="7"/>
      <c r="B376" s="284"/>
      <c r="C376" s="7"/>
      <c r="D376" s="285"/>
      <c r="E376" s="286"/>
      <c r="F376" s="7"/>
      <c r="G376" s="7"/>
      <c r="H376" s="7"/>
      <c r="I376" s="287"/>
      <c r="J376" s="288"/>
      <c r="K376" s="288"/>
      <c r="L376" s="7"/>
      <c r="M376" s="28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</row>
    <row r="377" ht="18.75" customHeight="1">
      <c r="A377" s="7"/>
      <c r="B377" s="284"/>
      <c r="C377" s="7"/>
      <c r="D377" s="285"/>
      <c r="E377" s="286"/>
      <c r="F377" s="7"/>
      <c r="G377" s="7"/>
      <c r="H377" s="7"/>
      <c r="I377" s="287"/>
      <c r="J377" s="288"/>
      <c r="K377" s="288"/>
      <c r="L377" s="7"/>
      <c r="M377" s="28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</row>
    <row r="378" ht="18.75" customHeight="1">
      <c r="A378" s="7"/>
      <c r="B378" s="284"/>
      <c r="C378" s="7"/>
      <c r="D378" s="285"/>
      <c r="E378" s="286"/>
      <c r="F378" s="7"/>
      <c r="G378" s="7"/>
      <c r="H378" s="7"/>
      <c r="I378" s="287"/>
      <c r="J378" s="288"/>
      <c r="K378" s="288"/>
      <c r="L378" s="7"/>
      <c r="M378" s="28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</row>
    <row r="379" ht="18.75" customHeight="1">
      <c r="A379" s="7"/>
      <c r="B379" s="284"/>
      <c r="C379" s="7"/>
      <c r="D379" s="285"/>
      <c r="E379" s="286"/>
      <c r="F379" s="7"/>
      <c r="G379" s="7"/>
      <c r="H379" s="7"/>
      <c r="I379" s="287"/>
      <c r="J379" s="288"/>
      <c r="K379" s="288"/>
      <c r="L379" s="7"/>
      <c r="M379" s="28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</row>
    <row r="380" ht="18.75" customHeight="1">
      <c r="A380" s="7"/>
      <c r="B380" s="284"/>
      <c r="C380" s="7"/>
      <c r="D380" s="285"/>
      <c r="E380" s="286"/>
      <c r="F380" s="7"/>
      <c r="G380" s="7"/>
      <c r="H380" s="7"/>
      <c r="I380" s="287"/>
      <c r="J380" s="288"/>
      <c r="K380" s="288"/>
      <c r="L380" s="7"/>
      <c r="M380" s="28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</row>
    <row r="381" ht="18.75" customHeight="1">
      <c r="A381" s="7"/>
      <c r="B381" s="284"/>
      <c r="C381" s="7"/>
      <c r="D381" s="285"/>
      <c r="E381" s="286"/>
      <c r="F381" s="7"/>
      <c r="G381" s="7"/>
      <c r="H381" s="7"/>
      <c r="I381" s="287"/>
      <c r="J381" s="288"/>
      <c r="K381" s="288"/>
      <c r="L381" s="7"/>
      <c r="M381" s="28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</row>
    <row r="382" ht="18.75" customHeight="1">
      <c r="A382" s="7"/>
      <c r="B382" s="284"/>
      <c r="C382" s="7"/>
      <c r="D382" s="285"/>
      <c r="E382" s="286"/>
      <c r="F382" s="7"/>
      <c r="G382" s="7"/>
      <c r="H382" s="7"/>
      <c r="I382" s="287"/>
      <c r="J382" s="288"/>
      <c r="K382" s="288"/>
      <c r="L382" s="7"/>
      <c r="M382" s="28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</row>
    <row r="383" ht="18.75" customHeight="1">
      <c r="A383" s="7"/>
      <c r="B383" s="284"/>
      <c r="C383" s="7"/>
      <c r="D383" s="285"/>
      <c r="E383" s="286"/>
      <c r="F383" s="7"/>
      <c r="G383" s="7"/>
      <c r="H383" s="7"/>
      <c r="I383" s="287"/>
      <c r="J383" s="288"/>
      <c r="K383" s="288"/>
      <c r="L383" s="7"/>
      <c r="M383" s="28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</row>
    <row r="384" ht="18.75" customHeight="1">
      <c r="A384" s="7"/>
      <c r="B384" s="284"/>
      <c r="C384" s="7"/>
      <c r="D384" s="285"/>
      <c r="E384" s="286"/>
      <c r="F384" s="7"/>
      <c r="G384" s="7"/>
      <c r="H384" s="7"/>
      <c r="I384" s="287"/>
      <c r="J384" s="288"/>
      <c r="K384" s="288"/>
      <c r="L384" s="7"/>
      <c r="M384" s="28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</row>
    <row r="385" ht="18.75" customHeight="1">
      <c r="A385" s="7"/>
      <c r="B385" s="284"/>
      <c r="C385" s="7"/>
      <c r="D385" s="285"/>
      <c r="E385" s="286"/>
      <c r="F385" s="7"/>
      <c r="G385" s="7"/>
      <c r="H385" s="7"/>
      <c r="I385" s="287"/>
      <c r="J385" s="288"/>
      <c r="K385" s="288"/>
      <c r="L385" s="7"/>
      <c r="M385" s="28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</row>
    <row r="386" ht="18.75" customHeight="1">
      <c r="A386" s="7"/>
      <c r="B386" s="284"/>
      <c r="C386" s="7"/>
      <c r="D386" s="285"/>
      <c r="E386" s="286"/>
      <c r="F386" s="7"/>
      <c r="G386" s="7"/>
      <c r="H386" s="7"/>
      <c r="I386" s="287"/>
      <c r="J386" s="288"/>
      <c r="K386" s="288"/>
      <c r="L386" s="7"/>
      <c r="M386" s="28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</row>
    <row r="387" ht="18.75" customHeight="1">
      <c r="A387" s="7"/>
      <c r="B387" s="284"/>
      <c r="C387" s="7"/>
      <c r="D387" s="285"/>
      <c r="E387" s="286"/>
      <c r="F387" s="7"/>
      <c r="G387" s="7"/>
      <c r="H387" s="7"/>
      <c r="I387" s="287"/>
      <c r="J387" s="288"/>
      <c r="K387" s="288"/>
      <c r="L387" s="7"/>
      <c r="M387" s="28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</row>
    <row r="388" ht="18.75" customHeight="1">
      <c r="A388" s="7"/>
      <c r="B388" s="284"/>
      <c r="C388" s="7"/>
      <c r="D388" s="285"/>
      <c r="E388" s="286"/>
      <c r="F388" s="7"/>
      <c r="G388" s="7"/>
      <c r="H388" s="7"/>
      <c r="I388" s="287"/>
      <c r="J388" s="288"/>
      <c r="K388" s="288"/>
      <c r="L388" s="7"/>
      <c r="M388" s="28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</row>
    <row r="389" ht="18.75" customHeight="1">
      <c r="A389" s="7"/>
      <c r="B389" s="284"/>
      <c r="C389" s="7"/>
      <c r="D389" s="285"/>
      <c r="E389" s="286"/>
      <c r="F389" s="7"/>
      <c r="G389" s="7"/>
      <c r="H389" s="7"/>
      <c r="I389" s="287"/>
      <c r="J389" s="288"/>
      <c r="K389" s="288"/>
      <c r="L389" s="7"/>
      <c r="M389" s="28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</row>
    <row r="390" ht="18.75" customHeight="1">
      <c r="A390" s="7"/>
      <c r="B390" s="284"/>
      <c r="C390" s="7"/>
      <c r="D390" s="285"/>
      <c r="E390" s="286"/>
      <c r="F390" s="7"/>
      <c r="G390" s="7"/>
      <c r="H390" s="7"/>
      <c r="I390" s="287"/>
      <c r="J390" s="288"/>
      <c r="K390" s="288"/>
      <c r="L390" s="7"/>
      <c r="M390" s="28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</row>
    <row r="391" ht="18.75" customHeight="1">
      <c r="A391" s="7"/>
      <c r="B391" s="284"/>
      <c r="C391" s="7"/>
      <c r="D391" s="285"/>
      <c r="E391" s="286"/>
      <c r="F391" s="7"/>
      <c r="G391" s="7"/>
      <c r="H391" s="7"/>
      <c r="I391" s="287"/>
      <c r="J391" s="288"/>
      <c r="K391" s="288"/>
      <c r="L391" s="7"/>
      <c r="M391" s="28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</row>
    <row r="392" ht="18.75" customHeight="1">
      <c r="A392" s="7"/>
      <c r="B392" s="284"/>
      <c r="C392" s="7"/>
      <c r="D392" s="285"/>
      <c r="E392" s="286"/>
      <c r="F392" s="7"/>
      <c r="G392" s="7"/>
      <c r="H392" s="7"/>
      <c r="I392" s="287"/>
      <c r="J392" s="288"/>
      <c r="K392" s="288"/>
      <c r="L392" s="7"/>
      <c r="M392" s="28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</row>
    <row r="393" ht="18.75" customHeight="1">
      <c r="A393" s="7"/>
      <c r="B393" s="284"/>
      <c r="C393" s="7"/>
      <c r="D393" s="285"/>
      <c r="E393" s="286"/>
      <c r="F393" s="7"/>
      <c r="G393" s="7"/>
      <c r="H393" s="7"/>
      <c r="I393" s="287"/>
      <c r="J393" s="288"/>
      <c r="K393" s="288"/>
      <c r="L393" s="7"/>
      <c r="M393" s="28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</row>
    <row r="394" ht="18.75" customHeight="1">
      <c r="A394" s="7"/>
      <c r="B394" s="284"/>
      <c r="C394" s="7"/>
      <c r="D394" s="285"/>
      <c r="E394" s="286"/>
      <c r="F394" s="7"/>
      <c r="G394" s="7"/>
      <c r="H394" s="7"/>
      <c r="I394" s="287"/>
      <c r="J394" s="288"/>
      <c r="K394" s="288"/>
      <c r="L394" s="7"/>
      <c r="M394" s="28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</row>
    <row r="395" ht="18.75" customHeight="1">
      <c r="A395" s="7"/>
      <c r="B395" s="284"/>
      <c r="C395" s="7"/>
      <c r="D395" s="285"/>
      <c r="E395" s="286"/>
      <c r="F395" s="7"/>
      <c r="G395" s="7"/>
      <c r="H395" s="7"/>
      <c r="I395" s="287"/>
      <c r="J395" s="288"/>
      <c r="K395" s="288"/>
      <c r="L395" s="7"/>
      <c r="M395" s="28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</row>
    <row r="396" ht="18.75" customHeight="1">
      <c r="A396" s="7"/>
      <c r="B396" s="284"/>
      <c r="C396" s="7"/>
      <c r="D396" s="285"/>
      <c r="E396" s="286"/>
      <c r="F396" s="7"/>
      <c r="G396" s="7"/>
      <c r="H396" s="7"/>
      <c r="I396" s="287"/>
      <c r="J396" s="288"/>
      <c r="K396" s="288"/>
      <c r="L396" s="7"/>
      <c r="M396" s="28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</row>
    <row r="397" ht="18.75" customHeight="1">
      <c r="A397" s="7"/>
      <c r="B397" s="284"/>
      <c r="C397" s="7"/>
      <c r="D397" s="285"/>
      <c r="E397" s="286"/>
      <c r="F397" s="7"/>
      <c r="G397" s="7"/>
      <c r="H397" s="7"/>
      <c r="I397" s="287"/>
      <c r="J397" s="288"/>
      <c r="K397" s="288"/>
      <c r="L397" s="7"/>
      <c r="M397" s="28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</row>
    <row r="398" ht="18.75" customHeight="1">
      <c r="A398" s="7"/>
      <c r="B398" s="284"/>
      <c r="C398" s="7"/>
      <c r="D398" s="285"/>
      <c r="E398" s="286"/>
      <c r="F398" s="7"/>
      <c r="G398" s="7"/>
      <c r="H398" s="7"/>
      <c r="I398" s="287"/>
      <c r="J398" s="288"/>
      <c r="K398" s="288"/>
      <c r="L398" s="7"/>
      <c r="M398" s="28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</row>
    <row r="399" ht="18.75" customHeight="1">
      <c r="A399" s="7"/>
      <c r="B399" s="284"/>
      <c r="C399" s="7"/>
      <c r="D399" s="285"/>
      <c r="E399" s="286"/>
      <c r="F399" s="7"/>
      <c r="G399" s="7"/>
      <c r="H399" s="7"/>
      <c r="I399" s="287"/>
      <c r="J399" s="288"/>
      <c r="K399" s="288"/>
      <c r="L399" s="7"/>
      <c r="M399" s="28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</row>
    <row r="400" ht="18.75" customHeight="1">
      <c r="A400" s="7"/>
      <c r="B400" s="284"/>
      <c r="C400" s="7"/>
      <c r="D400" s="285"/>
      <c r="E400" s="286"/>
      <c r="F400" s="7"/>
      <c r="G400" s="7"/>
      <c r="H400" s="7"/>
      <c r="I400" s="287"/>
      <c r="J400" s="288"/>
      <c r="K400" s="288"/>
      <c r="L400" s="7"/>
      <c r="M400" s="28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</row>
    <row r="401" ht="18.75" customHeight="1">
      <c r="A401" s="7"/>
      <c r="B401" s="284"/>
      <c r="C401" s="7"/>
      <c r="D401" s="285"/>
      <c r="E401" s="286"/>
      <c r="F401" s="7"/>
      <c r="G401" s="7"/>
      <c r="H401" s="7"/>
      <c r="I401" s="287"/>
      <c r="J401" s="288"/>
      <c r="K401" s="288"/>
      <c r="L401" s="7"/>
      <c r="M401" s="28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</row>
    <row r="402" ht="18.75" customHeight="1">
      <c r="A402" s="7"/>
      <c r="B402" s="284"/>
      <c r="C402" s="7"/>
      <c r="D402" s="285"/>
      <c r="E402" s="286"/>
      <c r="F402" s="7"/>
      <c r="G402" s="7"/>
      <c r="H402" s="7"/>
      <c r="I402" s="287"/>
      <c r="J402" s="288"/>
      <c r="K402" s="288"/>
      <c r="L402" s="7"/>
      <c r="M402" s="28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</row>
    <row r="403" ht="18.75" customHeight="1">
      <c r="A403" s="7"/>
      <c r="B403" s="284"/>
      <c r="C403" s="7"/>
      <c r="D403" s="285"/>
      <c r="E403" s="286"/>
      <c r="F403" s="7"/>
      <c r="G403" s="7"/>
      <c r="H403" s="7"/>
      <c r="I403" s="287"/>
      <c r="J403" s="288"/>
      <c r="K403" s="288"/>
      <c r="L403" s="7"/>
      <c r="M403" s="28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</row>
    <row r="404" ht="18.75" customHeight="1">
      <c r="A404" s="7"/>
      <c r="B404" s="284"/>
      <c r="C404" s="7"/>
      <c r="D404" s="285"/>
      <c r="E404" s="286"/>
      <c r="F404" s="7"/>
      <c r="G404" s="7"/>
      <c r="H404" s="7"/>
      <c r="I404" s="287"/>
      <c r="J404" s="288"/>
      <c r="K404" s="288"/>
      <c r="L404" s="7"/>
      <c r="M404" s="28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</row>
    <row r="405" ht="18.75" customHeight="1">
      <c r="A405" s="7"/>
      <c r="B405" s="284"/>
      <c r="C405" s="7"/>
      <c r="D405" s="285"/>
      <c r="E405" s="286"/>
      <c r="F405" s="7"/>
      <c r="G405" s="7"/>
      <c r="H405" s="7"/>
      <c r="I405" s="287"/>
      <c r="J405" s="288"/>
      <c r="K405" s="288"/>
      <c r="L405" s="7"/>
      <c r="M405" s="28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</row>
    <row r="406" ht="18.75" customHeight="1">
      <c r="A406" s="7"/>
      <c r="B406" s="284"/>
      <c r="C406" s="7"/>
      <c r="D406" s="285"/>
      <c r="E406" s="286"/>
      <c r="F406" s="7"/>
      <c r="G406" s="7"/>
      <c r="H406" s="7"/>
      <c r="I406" s="287"/>
      <c r="J406" s="288"/>
      <c r="K406" s="288"/>
      <c r="L406" s="7"/>
      <c r="M406" s="28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</row>
    <row r="407" ht="18.75" customHeight="1">
      <c r="A407" s="7"/>
      <c r="B407" s="284"/>
      <c r="C407" s="7"/>
      <c r="D407" s="285"/>
      <c r="E407" s="286"/>
      <c r="F407" s="7"/>
      <c r="G407" s="7"/>
      <c r="H407" s="7"/>
      <c r="I407" s="287"/>
      <c r="J407" s="288"/>
      <c r="K407" s="288"/>
      <c r="L407" s="7"/>
      <c r="M407" s="28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</row>
    <row r="408" ht="18.75" customHeight="1">
      <c r="A408" s="7"/>
      <c r="B408" s="284"/>
      <c r="C408" s="7"/>
      <c r="D408" s="285"/>
      <c r="E408" s="286"/>
      <c r="F408" s="7"/>
      <c r="G408" s="7"/>
      <c r="H408" s="7"/>
      <c r="I408" s="287"/>
      <c r="J408" s="288"/>
      <c r="K408" s="288"/>
      <c r="L408" s="7"/>
      <c r="M408" s="28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</row>
    <row r="409" ht="18.75" customHeight="1">
      <c r="A409" s="7"/>
      <c r="B409" s="284"/>
      <c r="C409" s="7"/>
      <c r="D409" s="285"/>
      <c r="E409" s="286"/>
      <c r="F409" s="7"/>
      <c r="G409" s="7"/>
      <c r="H409" s="7"/>
      <c r="I409" s="287"/>
      <c r="J409" s="288"/>
      <c r="K409" s="288"/>
      <c r="L409" s="7"/>
      <c r="M409" s="28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</row>
    <row r="410" ht="18.75" customHeight="1">
      <c r="A410" s="7"/>
      <c r="B410" s="284"/>
      <c r="C410" s="7"/>
      <c r="D410" s="285"/>
      <c r="E410" s="286"/>
      <c r="F410" s="7"/>
      <c r="G410" s="7"/>
      <c r="H410" s="7"/>
      <c r="I410" s="287"/>
      <c r="J410" s="288"/>
      <c r="K410" s="288"/>
      <c r="L410" s="7"/>
      <c r="M410" s="28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</row>
    <row r="411" ht="18.75" customHeight="1">
      <c r="A411" s="7"/>
      <c r="B411" s="284"/>
      <c r="C411" s="7"/>
      <c r="D411" s="285"/>
      <c r="E411" s="286"/>
      <c r="F411" s="7"/>
      <c r="G411" s="7"/>
      <c r="H411" s="7"/>
      <c r="I411" s="287"/>
      <c r="J411" s="288"/>
      <c r="K411" s="288"/>
      <c r="L411" s="7"/>
      <c r="M411" s="28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</row>
    <row r="412" ht="18.75" customHeight="1">
      <c r="A412" s="7"/>
      <c r="B412" s="284"/>
      <c r="C412" s="7"/>
      <c r="D412" s="285"/>
      <c r="E412" s="286"/>
      <c r="F412" s="7"/>
      <c r="G412" s="7"/>
      <c r="H412" s="7"/>
      <c r="I412" s="287"/>
      <c r="J412" s="288"/>
      <c r="K412" s="288"/>
      <c r="L412" s="7"/>
      <c r="M412" s="28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</row>
    <row r="413" ht="18.75" customHeight="1">
      <c r="A413" s="7"/>
      <c r="B413" s="284"/>
      <c r="C413" s="7"/>
      <c r="D413" s="285"/>
      <c r="E413" s="286"/>
      <c r="F413" s="7"/>
      <c r="G413" s="7"/>
      <c r="H413" s="7"/>
      <c r="I413" s="287"/>
      <c r="J413" s="288"/>
      <c r="K413" s="288"/>
      <c r="L413" s="7"/>
      <c r="M413" s="28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</row>
    <row r="414" ht="18.75" customHeight="1">
      <c r="A414" s="7"/>
      <c r="B414" s="284"/>
      <c r="C414" s="7"/>
      <c r="D414" s="285"/>
      <c r="E414" s="286"/>
      <c r="F414" s="7"/>
      <c r="G414" s="7"/>
      <c r="H414" s="7"/>
      <c r="I414" s="287"/>
      <c r="J414" s="288"/>
      <c r="K414" s="288"/>
      <c r="L414" s="7"/>
      <c r="M414" s="28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</row>
    <row r="415" ht="18.75" customHeight="1">
      <c r="A415" s="7"/>
      <c r="B415" s="284"/>
      <c r="C415" s="7"/>
      <c r="D415" s="285"/>
      <c r="E415" s="286"/>
      <c r="F415" s="7"/>
      <c r="G415" s="7"/>
      <c r="H415" s="7"/>
      <c r="I415" s="287"/>
      <c r="J415" s="288"/>
      <c r="K415" s="288"/>
      <c r="L415" s="7"/>
      <c r="M415" s="28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</row>
    <row r="416" ht="18.75" customHeight="1">
      <c r="A416" s="7"/>
      <c r="B416" s="284"/>
      <c r="C416" s="7"/>
      <c r="D416" s="285"/>
      <c r="E416" s="286"/>
      <c r="F416" s="7"/>
      <c r="G416" s="7"/>
      <c r="H416" s="7"/>
      <c r="I416" s="287"/>
      <c r="J416" s="288"/>
      <c r="K416" s="288"/>
      <c r="L416" s="7"/>
      <c r="M416" s="28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</row>
    <row r="417" ht="18.75" customHeight="1">
      <c r="A417" s="7"/>
      <c r="B417" s="284"/>
      <c r="C417" s="7"/>
      <c r="D417" s="285"/>
      <c r="E417" s="286"/>
      <c r="F417" s="7"/>
      <c r="G417" s="7"/>
      <c r="H417" s="7"/>
      <c r="I417" s="287"/>
      <c r="J417" s="288"/>
      <c r="K417" s="288"/>
      <c r="L417" s="7"/>
      <c r="M417" s="28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</row>
    <row r="418" ht="18.75" customHeight="1">
      <c r="A418" s="7"/>
      <c r="B418" s="284"/>
      <c r="C418" s="7"/>
      <c r="D418" s="285"/>
      <c r="E418" s="286"/>
      <c r="F418" s="7"/>
      <c r="G418" s="7"/>
      <c r="H418" s="7"/>
      <c r="I418" s="287"/>
      <c r="J418" s="288"/>
      <c r="K418" s="288"/>
      <c r="L418" s="7"/>
      <c r="M418" s="28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</row>
    <row r="419" ht="18.75" customHeight="1">
      <c r="A419" s="7"/>
      <c r="B419" s="284"/>
      <c r="C419" s="7"/>
      <c r="D419" s="285"/>
      <c r="E419" s="286"/>
      <c r="F419" s="7"/>
      <c r="G419" s="7"/>
      <c r="H419" s="7"/>
      <c r="I419" s="287"/>
      <c r="J419" s="288"/>
      <c r="K419" s="288"/>
      <c r="L419" s="7"/>
      <c r="M419" s="28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</row>
    <row r="420" ht="18.75" customHeight="1">
      <c r="A420" s="7"/>
      <c r="B420" s="284"/>
      <c r="C420" s="7"/>
      <c r="D420" s="285"/>
      <c r="E420" s="286"/>
      <c r="F420" s="7"/>
      <c r="G420" s="7"/>
      <c r="H420" s="7"/>
      <c r="I420" s="287"/>
      <c r="J420" s="288"/>
      <c r="K420" s="288"/>
      <c r="L420" s="7"/>
      <c r="M420" s="28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</row>
    <row r="421" ht="18.75" customHeight="1">
      <c r="A421" s="7"/>
      <c r="B421" s="284"/>
      <c r="C421" s="7"/>
      <c r="D421" s="285"/>
      <c r="E421" s="286"/>
      <c r="F421" s="7"/>
      <c r="G421" s="7"/>
      <c r="H421" s="7"/>
      <c r="I421" s="287"/>
      <c r="J421" s="288"/>
      <c r="K421" s="288"/>
      <c r="L421" s="7"/>
      <c r="M421" s="28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</row>
    <row r="422" ht="18.75" customHeight="1">
      <c r="A422" s="7"/>
      <c r="B422" s="284"/>
      <c r="C422" s="7"/>
      <c r="D422" s="285"/>
      <c r="E422" s="286"/>
      <c r="F422" s="7"/>
      <c r="G422" s="7"/>
      <c r="H422" s="7"/>
      <c r="I422" s="287"/>
      <c r="J422" s="288"/>
      <c r="K422" s="288"/>
      <c r="L422" s="7"/>
      <c r="M422" s="28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</row>
    <row r="423" ht="18.75" customHeight="1">
      <c r="A423" s="7"/>
      <c r="B423" s="284"/>
      <c r="C423" s="7"/>
      <c r="D423" s="285"/>
      <c r="E423" s="286"/>
      <c r="F423" s="7"/>
      <c r="G423" s="7"/>
      <c r="H423" s="7"/>
      <c r="I423" s="287"/>
      <c r="J423" s="288"/>
      <c r="K423" s="288"/>
      <c r="L423" s="7"/>
      <c r="M423" s="28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</row>
    <row r="424" ht="18.75" customHeight="1">
      <c r="A424" s="7"/>
      <c r="B424" s="284"/>
      <c r="C424" s="7"/>
      <c r="D424" s="285"/>
      <c r="E424" s="286"/>
      <c r="F424" s="7"/>
      <c r="G424" s="7"/>
      <c r="H424" s="7"/>
      <c r="I424" s="287"/>
      <c r="J424" s="288"/>
      <c r="K424" s="288"/>
      <c r="L424" s="7"/>
      <c r="M424" s="28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</row>
    <row r="425" ht="18.75" customHeight="1">
      <c r="A425" s="7"/>
      <c r="B425" s="284"/>
      <c r="C425" s="7"/>
      <c r="D425" s="285"/>
      <c r="E425" s="286"/>
      <c r="F425" s="7"/>
      <c r="G425" s="7"/>
      <c r="H425" s="7"/>
      <c r="I425" s="287"/>
      <c r="J425" s="288"/>
      <c r="K425" s="288"/>
      <c r="L425" s="7"/>
      <c r="M425" s="28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</row>
    <row r="426" ht="18.75" customHeight="1">
      <c r="A426" s="7"/>
      <c r="B426" s="284"/>
      <c r="C426" s="7"/>
      <c r="D426" s="285"/>
      <c r="E426" s="286"/>
      <c r="F426" s="7"/>
      <c r="G426" s="7"/>
      <c r="H426" s="7"/>
      <c r="I426" s="287"/>
      <c r="J426" s="288"/>
      <c r="K426" s="288"/>
      <c r="L426" s="7"/>
      <c r="M426" s="28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</row>
    <row r="427" ht="18.75" customHeight="1">
      <c r="A427" s="7"/>
      <c r="B427" s="284"/>
      <c r="C427" s="7"/>
      <c r="D427" s="285"/>
      <c r="E427" s="286"/>
      <c r="F427" s="7"/>
      <c r="G427" s="7"/>
      <c r="H427" s="7"/>
      <c r="I427" s="287"/>
      <c r="J427" s="288"/>
      <c r="K427" s="288"/>
      <c r="L427" s="7"/>
      <c r="M427" s="28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</row>
    <row r="428" ht="18.75" customHeight="1">
      <c r="A428" s="7"/>
      <c r="B428" s="284"/>
      <c r="C428" s="7"/>
      <c r="D428" s="285"/>
      <c r="E428" s="286"/>
      <c r="F428" s="7"/>
      <c r="G428" s="7"/>
      <c r="H428" s="7"/>
      <c r="I428" s="287"/>
      <c r="J428" s="288"/>
      <c r="K428" s="288"/>
      <c r="L428" s="7"/>
      <c r="M428" s="28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</row>
    <row r="429" ht="18.75" customHeight="1">
      <c r="A429" s="7"/>
      <c r="B429" s="284"/>
      <c r="C429" s="7"/>
      <c r="D429" s="285"/>
      <c r="E429" s="286"/>
      <c r="F429" s="7"/>
      <c r="G429" s="7"/>
      <c r="H429" s="7"/>
      <c r="I429" s="287"/>
      <c r="J429" s="288"/>
      <c r="K429" s="288"/>
      <c r="L429" s="7"/>
      <c r="M429" s="28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</row>
    <row r="430" ht="18.75" customHeight="1">
      <c r="A430" s="7"/>
      <c r="B430" s="284"/>
      <c r="C430" s="7"/>
      <c r="D430" s="285"/>
      <c r="E430" s="286"/>
      <c r="F430" s="7"/>
      <c r="G430" s="7"/>
      <c r="H430" s="7"/>
      <c r="I430" s="287"/>
      <c r="J430" s="288"/>
      <c r="K430" s="288"/>
      <c r="L430" s="7"/>
      <c r="M430" s="28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</row>
    <row r="431" ht="18.75" customHeight="1">
      <c r="A431" s="7"/>
      <c r="B431" s="284"/>
      <c r="C431" s="7"/>
      <c r="D431" s="285"/>
      <c r="E431" s="286"/>
      <c r="F431" s="7"/>
      <c r="G431" s="7"/>
      <c r="H431" s="7"/>
      <c r="I431" s="287"/>
      <c r="J431" s="288"/>
      <c r="K431" s="288"/>
      <c r="L431" s="7"/>
      <c r="M431" s="28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</row>
    <row r="432" ht="18.75" customHeight="1">
      <c r="A432" s="7"/>
      <c r="B432" s="284"/>
      <c r="C432" s="7"/>
      <c r="D432" s="285"/>
      <c r="E432" s="286"/>
      <c r="F432" s="7"/>
      <c r="G432" s="7"/>
      <c r="H432" s="7"/>
      <c r="I432" s="287"/>
      <c r="J432" s="288"/>
      <c r="K432" s="288"/>
      <c r="L432" s="7"/>
      <c r="M432" s="28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</row>
    <row r="433" ht="18.75" customHeight="1">
      <c r="A433" s="7"/>
      <c r="B433" s="284"/>
      <c r="C433" s="7"/>
      <c r="D433" s="285"/>
      <c r="E433" s="286"/>
      <c r="F433" s="7"/>
      <c r="G433" s="7"/>
      <c r="H433" s="7"/>
      <c r="I433" s="287"/>
      <c r="J433" s="288"/>
      <c r="K433" s="288"/>
      <c r="L433" s="7"/>
      <c r="M433" s="28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</row>
    <row r="434" ht="18.75" customHeight="1">
      <c r="A434" s="7"/>
      <c r="B434" s="284"/>
      <c r="C434" s="7"/>
      <c r="D434" s="285"/>
      <c r="E434" s="286"/>
      <c r="F434" s="7"/>
      <c r="G434" s="7"/>
      <c r="H434" s="7"/>
      <c r="I434" s="287"/>
      <c r="J434" s="288"/>
      <c r="K434" s="288"/>
      <c r="L434" s="7"/>
      <c r="M434" s="28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</row>
    <row r="435" ht="18.75" customHeight="1">
      <c r="A435" s="7"/>
      <c r="B435" s="284"/>
      <c r="C435" s="7"/>
      <c r="D435" s="285"/>
      <c r="E435" s="286"/>
      <c r="F435" s="7"/>
      <c r="G435" s="7"/>
      <c r="H435" s="7"/>
      <c r="I435" s="287"/>
      <c r="J435" s="288"/>
      <c r="K435" s="288"/>
      <c r="L435" s="7"/>
      <c r="M435" s="28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</row>
    <row r="436" ht="18.75" customHeight="1">
      <c r="A436" s="7"/>
      <c r="B436" s="284"/>
      <c r="C436" s="7"/>
      <c r="D436" s="285"/>
      <c r="E436" s="286"/>
      <c r="F436" s="7"/>
      <c r="G436" s="7"/>
      <c r="H436" s="7"/>
      <c r="I436" s="287"/>
      <c r="J436" s="288"/>
      <c r="K436" s="288"/>
      <c r="L436" s="7"/>
      <c r="M436" s="28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</row>
    <row r="437" ht="18.75" customHeight="1">
      <c r="A437" s="7"/>
      <c r="B437" s="284"/>
      <c r="C437" s="7"/>
      <c r="D437" s="285"/>
      <c r="E437" s="286"/>
      <c r="F437" s="7"/>
      <c r="G437" s="7"/>
      <c r="H437" s="7"/>
      <c r="I437" s="287"/>
      <c r="J437" s="288"/>
      <c r="K437" s="288"/>
      <c r="L437" s="7"/>
      <c r="M437" s="28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</row>
    <row r="438" ht="18.75" customHeight="1">
      <c r="A438" s="7"/>
      <c r="B438" s="284"/>
      <c r="C438" s="7"/>
      <c r="D438" s="285"/>
      <c r="E438" s="286"/>
      <c r="F438" s="7"/>
      <c r="G438" s="7"/>
      <c r="H438" s="7"/>
      <c r="I438" s="287"/>
      <c r="J438" s="288"/>
      <c r="K438" s="288"/>
      <c r="L438" s="7"/>
      <c r="M438" s="28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</row>
    <row r="439" ht="18.75" customHeight="1">
      <c r="A439" s="7"/>
      <c r="B439" s="284"/>
      <c r="C439" s="7"/>
      <c r="D439" s="285"/>
      <c r="E439" s="286"/>
      <c r="F439" s="7"/>
      <c r="G439" s="7"/>
      <c r="H439" s="7"/>
      <c r="I439" s="287"/>
      <c r="J439" s="288"/>
      <c r="K439" s="288"/>
      <c r="L439" s="7"/>
      <c r="M439" s="28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</row>
    <row r="440" ht="18.75" customHeight="1">
      <c r="A440" s="7"/>
      <c r="B440" s="284"/>
      <c r="C440" s="7"/>
      <c r="D440" s="285"/>
      <c r="E440" s="286"/>
      <c r="F440" s="7"/>
      <c r="G440" s="7"/>
      <c r="H440" s="7"/>
      <c r="I440" s="287"/>
      <c r="J440" s="288"/>
      <c r="K440" s="288"/>
      <c r="L440" s="7"/>
      <c r="M440" s="28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</row>
    <row r="441" ht="18.75" customHeight="1">
      <c r="A441" s="7"/>
      <c r="B441" s="284"/>
      <c r="C441" s="7"/>
      <c r="D441" s="285"/>
      <c r="E441" s="286"/>
      <c r="F441" s="7"/>
      <c r="G441" s="7"/>
      <c r="H441" s="7"/>
      <c r="I441" s="287"/>
      <c r="J441" s="288"/>
      <c r="K441" s="288"/>
      <c r="L441" s="7"/>
      <c r="M441" s="28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</row>
    <row r="442" ht="18.75" customHeight="1">
      <c r="A442" s="7"/>
      <c r="B442" s="284"/>
      <c r="C442" s="7"/>
      <c r="D442" s="285"/>
      <c r="E442" s="286"/>
      <c r="F442" s="7"/>
      <c r="G442" s="7"/>
      <c r="H442" s="7"/>
      <c r="I442" s="287"/>
      <c r="J442" s="288"/>
      <c r="K442" s="288"/>
      <c r="L442" s="7"/>
      <c r="M442" s="28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</row>
    <row r="443" ht="18.75" customHeight="1">
      <c r="A443" s="7"/>
      <c r="B443" s="284"/>
      <c r="C443" s="7"/>
      <c r="D443" s="285"/>
      <c r="E443" s="286"/>
      <c r="F443" s="7"/>
      <c r="G443" s="7"/>
      <c r="H443" s="7"/>
      <c r="I443" s="287"/>
      <c r="J443" s="288"/>
      <c r="K443" s="288"/>
      <c r="L443" s="7"/>
      <c r="M443" s="28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</row>
    <row r="444" ht="18.75" customHeight="1">
      <c r="A444" s="7"/>
      <c r="B444" s="284"/>
      <c r="C444" s="7"/>
      <c r="D444" s="285"/>
      <c r="E444" s="286"/>
      <c r="F444" s="7"/>
      <c r="G444" s="7"/>
      <c r="H444" s="7"/>
      <c r="I444" s="287"/>
      <c r="J444" s="288"/>
      <c r="K444" s="288"/>
      <c r="L444" s="7"/>
      <c r="M444" s="28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</row>
    <row r="445" ht="18.75" customHeight="1">
      <c r="A445" s="7"/>
      <c r="B445" s="284"/>
      <c r="C445" s="7"/>
      <c r="D445" s="285"/>
      <c r="E445" s="286"/>
      <c r="F445" s="7"/>
      <c r="G445" s="7"/>
      <c r="H445" s="7"/>
      <c r="I445" s="287"/>
      <c r="J445" s="288"/>
      <c r="K445" s="288"/>
      <c r="L445" s="7"/>
      <c r="M445" s="28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</row>
    <row r="446" ht="18.75" customHeight="1">
      <c r="A446" s="7"/>
      <c r="B446" s="284"/>
      <c r="C446" s="7"/>
      <c r="D446" s="285"/>
      <c r="E446" s="286"/>
      <c r="F446" s="7"/>
      <c r="G446" s="7"/>
      <c r="H446" s="7"/>
      <c r="I446" s="287"/>
      <c r="J446" s="288"/>
      <c r="K446" s="288"/>
      <c r="L446" s="7"/>
      <c r="M446" s="28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</row>
    <row r="447" ht="18.75" customHeight="1">
      <c r="A447" s="7"/>
      <c r="B447" s="284"/>
      <c r="C447" s="7"/>
      <c r="D447" s="285"/>
      <c r="E447" s="286"/>
      <c r="F447" s="7"/>
      <c r="G447" s="7"/>
      <c r="H447" s="7"/>
      <c r="I447" s="287"/>
      <c r="J447" s="288"/>
      <c r="K447" s="288"/>
      <c r="L447" s="7"/>
      <c r="M447" s="28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</row>
    <row r="448" ht="18.75" customHeight="1">
      <c r="A448" s="7"/>
      <c r="B448" s="284"/>
      <c r="C448" s="7"/>
      <c r="D448" s="285"/>
      <c r="E448" s="286"/>
      <c r="F448" s="7"/>
      <c r="G448" s="7"/>
      <c r="H448" s="7"/>
      <c r="I448" s="287"/>
      <c r="J448" s="288"/>
      <c r="K448" s="288"/>
      <c r="L448" s="7"/>
      <c r="M448" s="28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</row>
    <row r="449" ht="18.75" customHeight="1">
      <c r="A449" s="7"/>
      <c r="B449" s="284"/>
      <c r="C449" s="7"/>
      <c r="D449" s="285"/>
      <c r="E449" s="286"/>
      <c r="F449" s="7"/>
      <c r="G449" s="7"/>
      <c r="H449" s="7"/>
      <c r="I449" s="287"/>
      <c r="J449" s="288"/>
      <c r="K449" s="288"/>
      <c r="L449" s="7"/>
      <c r="M449" s="28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</row>
    <row r="450" ht="18.75" customHeight="1">
      <c r="A450" s="7"/>
      <c r="B450" s="284"/>
      <c r="C450" s="7"/>
      <c r="D450" s="285"/>
      <c r="E450" s="286"/>
      <c r="F450" s="7"/>
      <c r="G450" s="7"/>
      <c r="H450" s="7"/>
      <c r="I450" s="287"/>
      <c r="J450" s="288"/>
      <c r="K450" s="288"/>
      <c r="L450" s="7"/>
      <c r="M450" s="28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</row>
    <row r="451" ht="18.75" customHeight="1">
      <c r="A451" s="7"/>
      <c r="B451" s="284"/>
      <c r="C451" s="7"/>
      <c r="D451" s="285"/>
      <c r="E451" s="286"/>
      <c r="F451" s="7"/>
      <c r="G451" s="7"/>
      <c r="H451" s="7"/>
      <c r="I451" s="287"/>
      <c r="J451" s="288"/>
      <c r="K451" s="288"/>
      <c r="L451" s="7"/>
      <c r="M451" s="28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</row>
    <row r="452" ht="18.75" customHeight="1">
      <c r="A452" s="7"/>
      <c r="B452" s="284"/>
      <c r="C452" s="7"/>
      <c r="D452" s="285"/>
      <c r="E452" s="286"/>
      <c r="F452" s="7"/>
      <c r="G452" s="7"/>
      <c r="H452" s="7"/>
      <c r="I452" s="287"/>
      <c r="J452" s="288"/>
      <c r="K452" s="288"/>
      <c r="L452" s="7"/>
      <c r="M452" s="28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</row>
    <row r="453" ht="18.75" customHeight="1">
      <c r="A453" s="7"/>
      <c r="B453" s="284"/>
      <c r="C453" s="7"/>
      <c r="D453" s="285"/>
      <c r="E453" s="286"/>
      <c r="F453" s="7"/>
      <c r="G453" s="7"/>
      <c r="H453" s="7"/>
      <c r="I453" s="287"/>
      <c r="J453" s="288"/>
      <c r="K453" s="288"/>
      <c r="L453" s="7"/>
      <c r="M453" s="28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</row>
    <row r="454" ht="18.75" customHeight="1">
      <c r="A454" s="7"/>
      <c r="B454" s="284"/>
      <c r="C454" s="7"/>
      <c r="D454" s="285"/>
      <c r="E454" s="286"/>
      <c r="F454" s="7"/>
      <c r="G454" s="7"/>
      <c r="H454" s="7"/>
      <c r="I454" s="287"/>
      <c r="J454" s="288"/>
      <c r="K454" s="288"/>
      <c r="L454" s="7"/>
      <c r="M454" s="28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</row>
    <row r="455" ht="18.75" customHeight="1">
      <c r="A455" s="7"/>
      <c r="B455" s="284"/>
      <c r="C455" s="7"/>
      <c r="D455" s="285"/>
      <c r="E455" s="286"/>
      <c r="F455" s="7"/>
      <c r="G455" s="7"/>
      <c r="H455" s="7"/>
      <c r="I455" s="287"/>
      <c r="J455" s="288"/>
      <c r="K455" s="288"/>
      <c r="L455" s="7"/>
      <c r="M455" s="28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</row>
    <row r="456" ht="18.75" customHeight="1">
      <c r="A456" s="7"/>
      <c r="B456" s="284"/>
      <c r="C456" s="7"/>
      <c r="D456" s="285"/>
      <c r="E456" s="286"/>
      <c r="F456" s="7"/>
      <c r="G456" s="7"/>
      <c r="H456" s="7"/>
      <c r="I456" s="287"/>
      <c r="J456" s="288"/>
      <c r="K456" s="288"/>
      <c r="L456" s="7"/>
      <c r="M456" s="28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</row>
    <row r="457" ht="18.75" customHeight="1">
      <c r="A457" s="7"/>
      <c r="B457" s="284"/>
      <c r="C457" s="7"/>
      <c r="D457" s="285"/>
      <c r="E457" s="286"/>
      <c r="F457" s="7"/>
      <c r="G457" s="7"/>
      <c r="H457" s="7"/>
      <c r="I457" s="287"/>
      <c r="J457" s="288"/>
      <c r="K457" s="288"/>
      <c r="L457" s="7"/>
      <c r="M457" s="28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</row>
    <row r="458" ht="18.75" customHeight="1">
      <c r="A458" s="7"/>
      <c r="B458" s="284"/>
      <c r="C458" s="7"/>
      <c r="D458" s="285"/>
      <c r="E458" s="286"/>
      <c r="F458" s="7"/>
      <c r="G458" s="7"/>
      <c r="H458" s="7"/>
      <c r="I458" s="287"/>
      <c r="J458" s="288"/>
      <c r="K458" s="288"/>
      <c r="L458" s="7"/>
      <c r="M458" s="28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</row>
    <row r="459" ht="18.75" customHeight="1">
      <c r="A459" s="7"/>
      <c r="B459" s="284"/>
      <c r="C459" s="7"/>
      <c r="D459" s="285"/>
      <c r="E459" s="286"/>
      <c r="F459" s="7"/>
      <c r="G459" s="7"/>
      <c r="H459" s="7"/>
      <c r="I459" s="287"/>
      <c r="J459" s="288"/>
      <c r="K459" s="288"/>
      <c r="L459" s="7"/>
      <c r="M459" s="28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</row>
    <row r="460" ht="18.75" customHeight="1">
      <c r="A460" s="7"/>
      <c r="B460" s="284"/>
      <c r="C460" s="7"/>
      <c r="D460" s="285"/>
      <c r="E460" s="286"/>
      <c r="F460" s="7"/>
      <c r="G460" s="7"/>
      <c r="H460" s="7"/>
      <c r="I460" s="287"/>
      <c r="J460" s="288"/>
      <c r="K460" s="288"/>
      <c r="L460" s="7"/>
      <c r="M460" s="28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</row>
    <row r="461" ht="18.75" customHeight="1">
      <c r="A461" s="7"/>
      <c r="B461" s="284"/>
      <c r="C461" s="7"/>
      <c r="D461" s="285"/>
      <c r="E461" s="286"/>
      <c r="F461" s="7"/>
      <c r="G461" s="7"/>
      <c r="H461" s="7"/>
      <c r="I461" s="287"/>
      <c r="J461" s="288"/>
      <c r="K461" s="288"/>
      <c r="L461" s="7"/>
      <c r="M461" s="28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</row>
    <row r="462" ht="18.75" customHeight="1">
      <c r="A462" s="7"/>
      <c r="B462" s="284"/>
      <c r="C462" s="7"/>
      <c r="D462" s="285"/>
      <c r="E462" s="286"/>
      <c r="F462" s="7"/>
      <c r="G462" s="7"/>
      <c r="H462" s="7"/>
      <c r="I462" s="287"/>
      <c r="J462" s="288"/>
      <c r="K462" s="288"/>
      <c r="L462" s="7"/>
      <c r="M462" s="28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</row>
    <row r="463" ht="18.75" customHeight="1">
      <c r="A463" s="7"/>
      <c r="B463" s="284"/>
      <c r="C463" s="7"/>
      <c r="D463" s="285"/>
      <c r="E463" s="286"/>
      <c r="F463" s="7"/>
      <c r="G463" s="7"/>
      <c r="H463" s="7"/>
      <c r="I463" s="287"/>
      <c r="J463" s="288"/>
      <c r="K463" s="288"/>
      <c r="L463" s="7"/>
      <c r="M463" s="28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</row>
    <row r="464" ht="18.75" customHeight="1">
      <c r="A464" s="7"/>
      <c r="B464" s="284"/>
      <c r="C464" s="7"/>
      <c r="D464" s="285"/>
      <c r="E464" s="286"/>
      <c r="F464" s="7"/>
      <c r="G464" s="7"/>
      <c r="H464" s="7"/>
      <c r="I464" s="287"/>
      <c r="J464" s="288"/>
      <c r="K464" s="288"/>
      <c r="L464" s="7"/>
      <c r="M464" s="28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</row>
    <row r="465" ht="18.75" customHeight="1">
      <c r="A465" s="7"/>
      <c r="B465" s="284"/>
      <c r="C465" s="7"/>
      <c r="D465" s="285"/>
      <c r="E465" s="286"/>
      <c r="F465" s="7"/>
      <c r="G465" s="7"/>
      <c r="H465" s="7"/>
      <c r="I465" s="287"/>
      <c r="J465" s="288"/>
      <c r="K465" s="288"/>
      <c r="L465" s="7"/>
      <c r="M465" s="28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</row>
    <row r="466" ht="18.75" customHeight="1">
      <c r="A466" s="7"/>
      <c r="B466" s="284"/>
      <c r="C466" s="7"/>
      <c r="D466" s="285"/>
      <c r="E466" s="286"/>
      <c r="F466" s="7"/>
      <c r="G466" s="7"/>
      <c r="H466" s="7"/>
      <c r="I466" s="287"/>
      <c r="J466" s="288"/>
      <c r="K466" s="288"/>
      <c r="L466" s="7"/>
      <c r="M466" s="28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</row>
    <row r="467" ht="18.75" customHeight="1">
      <c r="A467" s="7"/>
      <c r="B467" s="284"/>
      <c r="C467" s="7"/>
      <c r="D467" s="285"/>
      <c r="E467" s="286"/>
      <c r="F467" s="7"/>
      <c r="G467" s="7"/>
      <c r="H467" s="7"/>
      <c r="I467" s="287"/>
      <c r="J467" s="288"/>
      <c r="K467" s="288"/>
      <c r="L467" s="7"/>
      <c r="M467" s="28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</row>
    <row r="468" ht="18.75" customHeight="1">
      <c r="A468" s="7"/>
      <c r="B468" s="284"/>
      <c r="C468" s="7"/>
      <c r="D468" s="285"/>
      <c r="E468" s="286"/>
      <c r="F468" s="7"/>
      <c r="G468" s="7"/>
      <c r="H468" s="7"/>
      <c r="I468" s="287"/>
      <c r="J468" s="288"/>
      <c r="K468" s="288"/>
      <c r="L468" s="7"/>
      <c r="M468" s="28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</row>
    <row r="469" ht="18.75" customHeight="1">
      <c r="A469" s="7"/>
      <c r="B469" s="284"/>
      <c r="C469" s="7"/>
      <c r="D469" s="285"/>
      <c r="E469" s="286"/>
      <c r="F469" s="7"/>
      <c r="G469" s="7"/>
      <c r="H469" s="7"/>
      <c r="I469" s="287"/>
      <c r="J469" s="288"/>
      <c r="K469" s="288"/>
      <c r="L469" s="7"/>
      <c r="M469" s="28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</row>
    <row r="470" ht="18.75" customHeight="1">
      <c r="A470" s="7"/>
      <c r="B470" s="284"/>
      <c r="C470" s="7"/>
      <c r="D470" s="285"/>
      <c r="E470" s="286"/>
      <c r="F470" s="7"/>
      <c r="G470" s="7"/>
      <c r="H470" s="7"/>
      <c r="I470" s="287"/>
      <c r="J470" s="288"/>
      <c r="K470" s="288"/>
      <c r="L470" s="7"/>
      <c r="M470" s="28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</row>
    <row r="471" ht="18.75" customHeight="1">
      <c r="A471" s="7"/>
      <c r="B471" s="284"/>
      <c r="C471" s="7"/>
      <c r="D471" s="285"/>
      <c r="E471" s="286"/>
      <c r="F471" s="7"/>
      <c r="G471" s="7"/>
      <c r="H471" s="7"/>
      <c r="I471" s="287"/>
      <c r="J471" s="288"/>
      <c r="K471" s="288"/>
      <c r="L471" s="7"/>
      <c r="M471" s="28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</row>
    <row r="472" ht="18.75" customHeight="1">
      <c r="A472" s="7"/>
      <c r="B472" s="284"/>
      <c r="C472" s="7"/>
      <c r="D472" s="285"/>
      <c r="E472" s="286"/>
      <c r="F472" s="7"/>
      <c r="G472" s="7"/>
      <c r="H472" s="7"/>
      <c r="I472" s="287"/>
      <c r="J472" s="288"/>
      <c r="K472" s="288"/>
      <c r="L472" s="7"/>
      <c r="M472" s="28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</row>
    <row r="473" ht="18.75" customHeight="1">
      <c r="A473" s="7"/>
      <c r="B473" s="284"/>
      <c r="C473" s="7"/>
      <c r="D473" s="285"/>
      <c r="E473" s="286"/>
      <c r="F473" s="7"/>
      <c r="G473" s="7"/>
      <c r="H473" s="7"/>
      <c r="I473" s="287"/>
      <c r="J473" s="288"/>
      <c r="K473" s="288"/>
      <c r="L473" s="7"/>
      <c r="M473" s="28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</row>
    <row r="474" ht="18.75" customHeight="1">
      <c r="A474" s="7"/>
      <c r="B474" s="284"/>
      <c r="C474" s="7"/>
      <c r="D474" s="285"/>
      <c r="E474" s="286"/>
      <c r="F474" s="7"/>
      <c r="G474" s="7"/>
      <c r="H474" s="7"/>
      <c r="I474" s="287"/>
      <c r="J474" s="288"/>
      <c r="K474" s="288"/>
      <c r="L474" s="7"/>
      <c r="M474" s="28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</row>
    <row r="475" ht="18.75" customHeight="1">
      <c r="A475" s="7"/>
      <c r="B475" s="284"/>
      <c r="C475" s="7"/>
      <c r="D475" s="285"/>
      <c r="E475" s="286"/>
      <c r="F475" s="7"/>
      <c r="G475" s="7"/>
      <c r="H475" s="7"/>
      <c r="I475" s="287"/>
      <c r="J475" s="288"/>
      <c r="K475" s="288"/>
      <c r="L475" s="7"/>
      <c r="M475" s="28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</row>
    <row r="476" ht="18.75" customHeight="1">
      <c r="A476" s="7"/>
      <c r="B476" s="284"/>
      <c r="C476" s="7"/>
      <c r="D476" s="285"/>
      <c r="E476" s="286"/>
      <c r="F476" s="7"/>
      <c r="G476" s="7"/>
      <c r="H476" s="7"/>
      <c r="I476" s="287"/>
      <c r="J476" s="288"/>
      <c r="K476" s="288"/>
      <c r="L476" s="7"/>
      <c r="M476" s="28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</row>
    <row r="477" ht="18.75" customHeight="1">
      <c r="A477" s="7"/>
      <c r="B477" s="284"/>
      <c r="C477" s="7"/>
      <c r="D477" s="285"/>
      <c r="E477" s="286"/>
      <c r="F477" s="7"/>
      <c r="G477" s="7"/>
      <c r="H477" s="7"/>
      <c r="I477" s="287"/>
      <c r="J477" s="288"/>
      <c r="K477" s="288"/>
      <c r="L477" s="7"/>
      <c r="M477" s="28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</row>
    <row r="478" ht="18.75" customHeight="1">
      <c r="A478" s="7"/>
      <c r="B478" s="284"/>
      <c r="C478" s="7"/>
      <c r="D478" s="285"/>
      <c r="E478" s="286"/>
      <c r="F478" s="7"/>
      <c r="G478" s="7"/>
      <c r="H478" s="7"/>
      <c r="I478" s="287"/>
      <c r="J478" s="288"/>
      <c r="K478" s="288"/>
      <c r="L478" s="7"/>
      <c r="M478" s="28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</row>
    <row r="479" ht="18.75" customHeight="1">
      <c r="A479" s="7"/>
      <c r="B479" s="284"/>
      <c r="C479" s="7"/>
      <c r="D479" s="285"/>
      <c r="E479" s="286"/>
      <c r="F479" s="7"/>
      <c r="G479" s="7"/>
      <c r="H479" s="7"/>
      <c r="I479" s="287"/>
      <c r="J479" s="288"/>
      <c r="K479" s="288"/>
      <c r="L479" s="7"/>
      <c r="M479" s="28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</row>
    <row r="480" ht="18.75" customHeight="1">
      <c r="A480" s="7"/>
      <c r="B480" s="284"/>
      <c r="C480" s="7"/>
      <c r="D480" s="285"/>
      <c r="E480" s="286"/>
      <c r="F480" s="7"/>
      <c r="G480" s="7"/>
      <c r="H480" s="7"/>
      <c r="I480" s="287"/>
      <c r="J480" s="288"/>
      <c r="K480" s="288"/>
      <c r="L480" s="7"/>
      <c r="M480" s="28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</row>
    <row r="481" ht="18.75" customHeight="1">
      <c r="A481" s="7"/>
      <c r="B481" s="284"/>
      <c r="C481" s="7"/>
      <c r="D481" s="285"/>
      <c r="E481" s="286"/>
      <c r="F481" s="7"/>
      <c r="G481" s="7"/>
      <c r="H481" s="7"/>
      <c r="I481" s="287"/>
      <c r="J481" s="288"/>
      <c r="K481" s="288"/>
      <c r="L481" s="7"/>
      <c r="M481" s="28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</row>
    <row r="482" ht="18.75" customHeight="1">
      <c r="A482" s="7"/>
      <c r="B482" s="284"/>
      <c r="C482" s="7"/>
      <c r="D482" s="285"/>
      <c r="E482" s="286"/>
      <c r="F482" s="7"/>
      <c r="G482" s="7"/>
      <c r="H482" s="7"/>
      <c r="I482" s="287"/>
      <c r="J482" s="288"/>
      <c r="K482" s="288"/>
      <c r="L482" s="7"/>
      <c r="M482" s="28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</row>
    <row r="483" ht="18.75" customHeight="1">
      <c r="A483" s="7"/>
      <c r="B483" s="284"/>
      <c r="C483" s="7"/>
      <c r="D483" s="285"/>
      <c r="E483" s="286"/>
      <c r="F483" s="7"/>
      <c r="G483" s="7"/>
      <c r="H483" s="7"/>
      <c r="I483" s="287"/>
      <c r="J483" s="288"/>
      <c r="K483" s="288"/>
      <c r="L483" s="7"/>
      <c r="M483" s="28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</row>
    <row r="484" ht="18.75" customHeight="1">
      <c r="A484" s="7"/>
      <c r="B484" s="284"/>
      <c r="C484" s="7"/>
      <c r="D484" s="285"/>
      <c r="E484" s="286"/>
      <c r="F484" s="7"/>
      <c r="G484" s="7"/>
      <c r="H484" s="7"/>
      <c r="I484" s="287"/>
      <c r="J484" s="288"/>
      <c r="K484" s="288"/>
      <c r="L484" s="7"/>
      <c r="M484" s="28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</row>
    <row r="485" ht="18.75" customHeight="1">
      <c r="A485" s="7"/>
      <c r="B485" s="284"/>
      <c r="C485" s="7"/>
      <c r="D485" s="285"/>
      <c r="E485" s="286"/>
      <c r="F485" s="7"/>
      <c r="G485" s="7"/>
      <c r="H485" s="7"/>
      <c r="I485" s="287"/>
      <c r="J485" s="288"/>
      <c r="K485" s="288"/>
      <c r="L485" s="7"/>
      <c r="M485" s="28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</row>
    <row r="486" ht="18.75" customHeight="1">
      <c r="A486" s="7"/>
      <c r="B486" s="284"/>
      <c r="C486" s="7"/>
      <c r="D486" s="285"/>
      <c r="E486" s="286"/>
      <c r="F486" s="7"/>
      <c r="G486" s="7"/>
      <c r="H486" s="7"/>
      <c r="I486" s="287"/>
      <c r="J486" s="288"/>
      <c r="K486" s="288"/>
      <c r="L486" s="7"/>
      <c r="M486" s="28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</row>
    <row r="487" ht="18.75" customHeight="1">
      <c r="A487" s="7"/>
      <c r="B487" s="284"/>
      <c r="C487" s="7"/>
      <c r="D487" s="285"/>
      <c r="E487" s="286"/>
      <c r="F487" s="7"/>
      <c r="G487" s="7"/>
      <c r="H487" s="7"/>
      <c r="I487" s="287"/>
      <c r="J487" s="288"/>
      <c r="K487" s="288"/>
      <c r="L487" s="7"/>
      <c r="M487" s="28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</row>
    <row r="488" ht="18.75" customHeight="1">
      <c r="A488" s="7"/>
      <c r="B488" s="284"/>
      <c r="C488" s="7"/>
      <c r="D488" s="285"/>
      <c r="E488" s="286"/>
      <c r="F488" s="7"/>
      <c r="G488" s="7"/>
      <c r="H488" s="7"/>
      <c r="I488" s="287"/>
      <c r="J488" s="288"/>
      <c r="K488" s="288"/>
      <c r="L488" s="7"/>
      <c r="M488" s="28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</row>
    <row r="489" ht="18.75" customHeight="1">
      <c r="A489" s="7"/>
      <c r="B489" s="284"/>
      <c r="C489" s="7"/>
      <c r="D489" s="285"/>
      <c r="E489" s="286"/>
      <c r="F489" s="7"/>
      <c r="G489" s="7"/>
      <c r="H489" s="7"/>
      <c r="I489" s="287"/>
      <c r="J489" s="288"/>
      <c r="K489" s="288"/>
      <c r="L489" s="7"/>
      <c r="M489" s="28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</row>
    <row r="490" ht="18.75" customHeight="1">
      <c r="A490" s="7"/>
      <c r="B490" s="284"/>
      <c r="C490" s="7"/>
      <c r="D490" s="285"/>
      <c r="E490" s="286"/>
      <c r="F490" s="7"/>
      <c r="G490" s="7"/>
      <c r="H490" s="7"/>
      <c r="I490" s="287"/>
      <c r="J490" s="288"/>
      <c r="K490" s="288"/>
      <c r="L490" s="7"/>
      <c r="M490" s="28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</row>
    <row r="491" ht="18.75" customHeight="1">
      <c r="A491" s="7"/>
      <c r="B491" s="284"/>
      <c r="C491" s="7"/>
      <c r="D491" s="285"/>
      <c r="E491" s="286"/>
      <c r="F491" s="7"/>
      <c r="G491" s="7"/>
      <c r="H491" s="7"/>
      <c r="I491" s="287"/>
      <c r="J491" s="288"/>
      <c r="K491" s="288"/>
      <c r="L491" s="7"/>
      <c r="M491" s="28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</row>
    <row r="492" ht="18.75" customHeight="1">
      <c r="A492" s="7"/>
      <c r="B492" s="284"/>
      <c r="C492" s="7"/>
      <c r="D492" s="285"/>
      <c r="E492" s="286"/>
      <c r="F492" s="7"/>
      <c r="G492" s="7"/>
      <c r="H492" s="7"/>
      <c r="I492" s="287"/>
      <c r="J492" s="288"/>
      <c r="K492" s="288"/>
      <c r="L492" s="7"/>
      <c r="M492" s="28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</row>
    <row r="493" ht="18.75" customHeight="1">
      <c r="A493" s="7"/>
      <c r="B493" s="284"/>
      <c r="C493" s="7"/>
      <c r="D493" s="285"/>
      <c r="E493" s="286"/>
      <c r="F493" s="7"/>
      <c r="G493" s="7"/>
      <c r="H493" s="7"/>
      <c r="I493" s="287"/>
      <c r="J493" s="288"/>
      <c r="K493" s="288"/>
      <c r="L493" s="7"/>
      <c r="M493" s="28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</row>
    <row r="494" ht="18.75" customHeight="1">
      <c r="A494" s="7"/>
      <c r="B494" s="284"/>
      <c r="C494" s="7"/>
      <c r="D494" s="285"/>
      <c r="E494" s="286"/>
      <c r="F494" s="7"/>
      <c r="G494" s="7"/>
      <c r="H494" s="7"/>
      <c r="I494" s="287"/>
      <c r="J494" s="288"/>
      <c r="K494" s="288"/>
      <c r="L494" s="7"/>
      <c r="M494" s="28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</row>
    <row r="495" ht="18.75" customHeight="1">
      <c r="A495" s="7"/>
      <c r="B495" s="284"/>
      <c r="C495" s="7"/>
      <c r="D495" s="285"/>
      <c r="E495" s="286"/>
      <c r="F495" s="7"/>
      <c r="G495" s="7"/>
      <c r="H495" s="7"/>
      <c r="I495" s="287"/>
      <c r="J495" s="288"/>
      <c r="K495" s="288"/>
      <c r="L495" s="7"/>
      <c r="M495" s="28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</row>
    <row r="496" ht="18.75" customHeight="1">
      <c r="A496" s="7"/>
      <c r="B496" s="284"/>
      <c r="C496" s="7"/>
      <c r="D496" s="285"/>
      <c r="E496" s="286"/>
      <c r="F496" s="7"/>
      <c r="G496" s="7"/>
      <c r="H496" s="7"/>
      <c r="I496" s="287"/>
      <c r="J496" s="288"/>
      <c r="K496" s="288"/>
      <c r="L496" s="7"/>
      <c r="M496" s="28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</row>
    <row r="497" ht="18.75" customHeight="1">
      <c r="A497" s="7"/>
      <c r="B497" s="284"/>
      <c r="C497" s="7"/>
      <c r="D497" s="285"/>
      <c r="E497" s="286"/>
      <c r="F497" s="7"/>
      <c r="G497" s="7"/>
      <c r="H497" s="7"/>
      <c r="I497" s="287"/>
      <c r="J497" s="288"/>
      <c r="K497" s="288"/>
      <c r="L497" s="7"/>
      <c r="M497" s="28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</row>
    <row r="498" ht="18.75" customHeight="1">
      <c r="A498" s="7"/>
      <c r="B498" s="284"/>
      <c r="C498" s="7"/>
      <c r="D498" s="285"/>
      <c r="E498" s="286"/>
      <c r="F498" s="7"/>
      <c r="G498" s="7"/>
      <c r="H498" s="7"/>
      <c r="I498" s="287"/>
      <c r="J498" s="288"/>
      <c r="K498" s="288"/>
      <c r="L498" s="7"/>
      <c r="M498" s="28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</row>
    <row r="499" ht="18.75" customHeight="1">
      <c r="A499" s="7"/>
      <c r="B499" s="284"/>
      <c r="C499" s="7"/>
      <c r="D499" s="285"/>
      <c r="E499" s="286"/>
      <c r="F499" s="7"/>
      <c r="G499" s="7"/>
      <c r="H499" s="7"/>
      <c r="I499" s="287"/>
      <c r="J499" s="288"/>
      <c r="K499" s="288"/>
      <c r="L499" s="7"/>
      <c r="M499" s="28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</row>
    <row r="500" ht="18.75" customHeight="1">
      <c r="A500" s="7"/>
      <c r="B500" s="284"/>
      <c r="C500" s="7"/>
      <c r="D500" s="285"/>
      <c r="E500" s="286"/>
      <c r="F500" s="7"/>
      <c r="G500" s="7"/>
      <c r="H500" s="7"/>
      <c r="I500" s="287"/>
      <c r="J500" s="288"/>
      <c r="K500" s="288"/>
      <c r="L500" s="7"/>
      <c r="M500" s="28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</row>
    <row r="501" ht="18.75" customHeight="1">
      <c r="A501" s="7"/>
      <c r="B501" s="284"/>
      <c r="C501" s="7"/>
      <c r="D501" s="285"/>
      <c r="E501" s="286"/>
      <c r="F501" s="7"/>
      <c r="G501" s="7"/>
      <c r="H501" s="7"/>
      <c r="I501" s="287"/>
      <c r="J501" s="288"/>
      <c r="K501" s="288"/>
      <c r="L501" s="7"/>
      <c r="M501" s="28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</row>
    <row r="502" ht="18.75" customHeight="1">
      <c r="A502" s="7"/>
      <c r="B502" s="284"/>
      <c r="C502" s="7"/>
      <c r="D502" s="285"/>
      <c r="E502" s="286"/>
      <c r="F502" s="7"/>
      <c r="G502" s="7"/>
      <c r="H502" s="7"/>
      <c r="I502" s="287"/>
      <c r="J502" s="288"/>
      <c r="K502" s="288"/>
      <c r="L502" s="7"/>
      <c r="M502" s="28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</row>
    <row r="503" ht="18.75" customHeight="1">
      <c r="A503" s="7"/>
      <c r="B503" s="284"/>
      <c r="C503" s="7"/>
      <c r="D503" s="285"/>
      <c r="E503" s="286"/>
      <c r="F503" s="7"/>
      <c r="G503" s="7"/>
      <c r="H503" s="7"/>
      <c r="I503" s="287"/>
      <c r="J503" s="288"/>
      <c r="K503" s="288"/>
      <c r="L503" s="7"/>
      <c r="M503" s="28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</row>
    <row r="504" ht="18.75" customHeight="1">
      <c r="A504" s="7"/>
      <c r="B504" s="284"/>
      <c r="C504" s="7"/>
      <c r="D504" s="285"/>
      <c r="E504" s="286"/>
      <c r="F504" s="7"/>
      <c r="G504" s="7"/>
      <c r="H504" s="7"/>
      <c r="I504" s="287"/>
      <c r="J504" s="288"/>
      <c r="K504" s="288"/>
      <c r="L504" s="7"/>
      <c r="M504" s="28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</row>
    <row r="505" ht="18.75" customHeight="1">
      <c r="A505" s="7"/>
      <c r="B505" s="284"/>
      <c r="C505" s="7"/>
      <c r="D505" s="285"/>
      <c r="E505" s="286"/>
      <c r="F505" s="7"/>
      <c r="G505" s="7"/>
      <c r="H505" s="7"/>
      <c r="I505" s="287"/>
      <c r="J505" s="288"/>
      <c r="K505" s="288"/>
      <c r="L505" s="7"/>
      <c r="M505" s="28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</row>
    <row r="506" ht="18.75" customHeight="1">
      <c r="A506" s="7"/>
      <c r="B506" s="284"/>
      <c r="C506" s="7"/>
      <c r="D506" s="285"/>
      <c r="E506" s="286"/>
      <c r="F506" s="7"/>
      <c r="G506" s="7"/>
      <c r="H506" s="7"/>
      <c r="I506" s="287"/>
      <c r="J506" s="288"/>
      <c r="K506" s="288"/>
      <c r="L506" s="7"/>
      <c r="M506" s="28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</row>
    <row r="507" ht="18.75" customHeight="1">
      <c r="A507" s="7"/>
      <c r="B507" s="284"/>
      <c r="C507" s="7"/>
      <c r="D507" s="285"/>
      <c r="E507" s="286"/>
      <c r="F507" s="7"/>
      <c r="G507" s="7"/>
      <c r="H507" s="7"/>
      <c r="I507" s="287"/>
      <c r="J507" s="288"/>
      <c r="K507" s="288"/>
      <c r="L507" s="7"/>
      <c r="M507" s="28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</row>
    <row r="508" ht="18.75" customHeight="1">
      <c r="A508" s="7"/>
      <c r="B508" s="284"/>
      <c r="C508" s="7"/>
      <c r="D508" s="285"/>
      <c r="E508" s="286"/>
      <c r="F508" s="7"/>
      <c r="G508" s="7"/>
      <c r="H508" s="7"/>
      <c r="I508" s="287"/>
      <c r="J508" s="288"/>
      <c r="K508" s="288"/>
      <c r="L508" s="7"/>
      <c r="M508" s="28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</row>
    <row r="509" ht="18.75" customHeight="1">
      <c r="A509" s="7"/>
      <c r="B509" s="284"/>
      <c r="C509" s="7"/>
      <c r="D509" s="285"/>
      <c r="E509" s="286"/>
      <c r="F509" s="7"/>
      <c r="G509" s="7"/>
      <c r="H509" s="7"/>
      <c r="I509" s="287"/>
      <c r="J509" s="288"/>
      <c r="K509" s="288"/>
      <c r="L509" s="7"/>
      <c r="M509" s="28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</row>
    <row r="510" ht="18.75" customHeight="1">
      <c r="A510" s="7"/>
      <c r="B510" s="284"/>
      <c r="C510" s="7"/>
      <c r="D510" s="285"/>
      <c r="E510" s="286"/>
      <c r="F510" s="7"/>
      <c r="G510" s="7"/>
      <c r="H510" s="7"/>
      <c r="I510" s="287"/>
      <c r="J510" s="288"/>
      <c r="K510" s="288"/>
      <c r="L510" s="7"/>
      <c r="M510" s="28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</row>
    <row r="511" ht="18.75" customHeight="1">
      <c r="A511" s="7"/>
      <c r="B511" s="284"/>
      <c r="C511" s="7"/>
      <c r="D511" s="285"/>
      <c r="E511" s="286"/>
      <c r="F511" s="7"/>
      <c r="G511" s="7"/>
      <c r="H511" s="7"/>
      <c r="I511" s="287"/>
      <c r="J511" s="288"/>
      <c r="K511" s="288"/>
      <c r="L511" s="7"/>
      <c r="M511" s="28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</row>
    <row r="512" ht="18.75" customHeight="1">
      <c r="A512" s="7"/>
      <c r="B512" s="284"/>
      <c r="C512" s="7"/>
      <c r="D512" s="285"/>
      <c r="E512" s="286"/>
      <c r="F512" s="7"/>
      <c r="G512" s="7"/>
      <c r="H512" s="7"/>
      <c r="I512" s="287"/>
      <c r="J512" s="288"/>
      <c r="K512" s="288"/>
      <c r="L512" s="7"/>
      <c r="M512" s="28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</row>
    <row r="513" ht="18.75" customHeight="1">
      <c r="A513" s="7"/>
      <c r="B513" s="284"/>
      <c r="C513" s="7"/>
      <c r="D513" s="285"/>
      <c r="E513" s="286"/>
      <c r="F513" s="7"/>
      <c r="G513" s="7"/>
      <c r="H513" s="7"/>
      <c r="I513" s="287"/>
      <c r="J513" s="288"/>
      <c r="K513" s="288"/>
      <c r="L513" s="7"/>
      <c r="M513" s="28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</row>
    <row r="514" ht="18.75" customHeight="1">
      <c r="A514" s="7"/>
      <c r="B514" s="284"/>
      <c r="C514" s="7"/>
      <c r="D514" s="285"/>
      <c r="E514" s="286"/>
      <c r="F514" s="7"/>
      <c r="G514" s="7"/>
      <c r="H514" s="7"/>
      <c r="I514" s="287"/>
      <c r="J514" s="288"/>
      <c r="K514" s="288"/>
      <c r="L514" s="7"/>
      <c r="M514" s="28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</row>
    <row r="515" ht="18.75" customHeight="1">
      <c r="A515" s="7"/>
      <c r="B515" s="284"/>
      <c r="C515" s="7"/>
      <c r="D515" s="285"/>
      <c r="E515" s="286"/>
      <c r="F515" s="7"/>
      <c r="G515" s="7"/>
      <c r="H515" s="7"/>
      <c r="I515" s="287"/>
      <c r="J515" s="288"/>
      <c r="K515" s="288"/>
      <c r="L515" s="7"/>
      <c r="M515" s="28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</row>
    <row r="516" ht="18.75" customHeight="1">
      <c r="A516" s="7"/>
      <c r="B516" s="284"/>
      <c r="C516" s="7"/>
      <c r="D516" s="285"/>
      <c r="E516" s="286"/>
      <c r="F516" s="7"/>
      <c r="G516" s="7"/>
      <c r="H516" s="7"/>
      <c r="I516" s="287"/>
      <c r="J516" s="288"/>
      <c r="K516" s="288"/>
      <c r="L516" s="7"/>
      <c r="M516" s="28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</row>
    <row r="517" ht="18.75" customHeight="1">
      <c r="A517" s="7"/>
      <c r="B517" s="284"/>
      <c r="C517" s="7"/>
      <c r="D517" s="285"/>
      <c r="E517" s="286"/>
      <c r="F517" s="7"/>
      <c r="G517" s="7"/>
      <c r="H517" s="7"/>
      <c r="I517" s="287"/>
      <c r="J517" s="288"/>
      <c r="K517" s="288"/>
      <c r="L517" s="7"/>
      <c r="M517" s="28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</row>
    <row r="518" ht="18.75" customHeight="1">
      <c r="A518" s="7"/>
      <c r="B518" s="284"/>
      <c r="C518" s="7"/>
      <c r="D518" s="285"/>
      <c r="E518" s="286"/>
      <c r="F518" s="7"/>
      <c r="G518" s="7"/>
      <c r="H518" s="7"/>
      <c r="I518" s="287"/>
      <c r="J518" s="288"/>
      <c r="K518" s="288"/>
      <c r="L518" s="7"/>
      <c r="M518" s="28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</row>
    <row r="519" ht="18.75" customHeight="1">
      <c r="A519" s="7"/>
      <c r="B519" s="284"/>
      <c r="C519" s="7"/>
      <c r="D519" s="285"/>
      <c r="E519" s="286"/>
      <c r="F519" s="7"/>
      <c r="G519" s="7"/>
      <c r="H519" s="7"/>
      <c r="I519" s="287"/>
      <c r="J519" s="288"/>
      <c r="K519" s="288"/>
      <c r="L519" s="7"/>
      <c r="M519" s="28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</row>
    <row r="520" ht="18.75" customHeight="1">
      <c r="A520" s="7"/>
      <c r="B520" s="284"/>
      <c r="C520" s="7"/>
      <c r="D520" s="285"/>
      <c r="E520" s="286"/>
      <c r="F520" s="7"/>
      <c r="G520" s="7"/>
      <c r="H520" s="7"/>
      <c r="I520" s="287"/>
      <c r="J520" s="288"/>
      <c r="K520" s="288"/>
      <c r="L520" s="7"/>
      <c r="M520" s="28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</row>
    <row r="521" ht="18.75" customHeight="1">
      <c r="A521" s="7"/>
      <c r="B521" s="284"/>
      <c r="C521" s="7"/>
      <c r="D521" s="285"/>
      <c r="E521" s="286"/>
      <c r="F521" s="7"/>
      <c r="G521" s="7"/>
      <c r="H521" s="7"/>
      <c r="I521" s="287"/>
      <c r="J521" s="288"/>
      <c r="K521" s="288"/>
      <c r="L521" s="7"/>
      <c r="M521" s="28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</row>
    <row r="522" ht="18.75" customHeight="1">
      <c r="A522" s="7"/>
      <c r="B522" s="284"/>
      <c r="C522" s="7"/>
      <c r="D522" s="285"/>
      <c r="E522" s="286"/>
      <c r="F522" s="7"/>
      <c r="G522" s="7"/>
      <c r="H522" s="7"/>
      <c r="I522" s="287"/>
      <c r="J522" s="288"/>
      <c r="K522" s="288"/>
      <c r="L522" s="7"/>
      <c r="M522" s="28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</row>
    <row r="523" ht="18.75" customHeight="1">
      <c r="A523" s="7"/>
      <c r="B523" s="284"/>
      <c r="C523" s="7"/>
      <c r="D523" s="285"/>
      <c r="E523" s="286"/>
      <c r="F523" s="7"/>
      <c r="G523" s="7"/>
      <c r="H523" s="7"/>
      <c r="I523" s="287"/>
      <c r="J523" s="288"/>
      <c r="K523" s="288"/>
      <c r="L523" s="7"/>
      <c r="M523" s="28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</row>
    <row r="524" ht="18.75" customHeight="1">
      <c r="A524" s="7"/>
      <c r="B524" s="284"/>
      <c r="C524" s="7"/>
      <c r="D524" s="285"/>
      <c r="E524" s="286"/>
      <c r="F524" s="7"/>
      <c r="G524" s="7"/>
      <c r="H524" s="7"/>
      <c r="I524" s="287"/>
      <c r="J524" s="288"/>
      <c r="K524" s="288"/>
      <c r="L524" s="7"/>
      <c r="M524" s="28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</row>
    <row r="525" ht="18.75" customHeight="1">
      <c r="A525" s="7"/>
      <c r="B525" s="284"/>
      <c r="C525" s="7"/>
      <c r="D525" s="285"/>
      <c r="E525" s="286"/>
      <c r="F525" s="7"/>
      <c r="G525" s="7"/>
      <c r="H525" s="7"/>
      <c r="I525" s="287"/>
      <c r="J525" s="288"/>
      <c r="K525" s="288"/>
      <c r="L525" s="7"/>
      <c r="M525" s="28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</row>
    <row r="526" ht="18.75" customHeight="1">
      <c r="A526" s="7"/>
      <c r="B526" s="284"/>
      <c r="C526" s="7"/>
      <c r="D526" s="285"/>
      <c r="E526" s="286"/>
      <c r="F526" s="7"/>
      <c r="G526" s="7"/>
      <c r="H526" s="7"/>
      <c r="I526" s="287"/>
      <c r="J526" s="288"/>
      <c r="K526" s="288"/>
      <c r="L526" s="7"/>
      <c r="M526" s="28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</row>
    <row r="527" ht="18.75" customHeight="1">
      <c r="A527" s="7"/>
      <c r="B527" s="284"/>
      <c r="C527" s="7"/>
      <c r="D527" s="285"/>
      <c r="E527" s="286"/>
      <c r="F527" s="7"/>
      <c r="G527" s="7"/>
      <c r="H527" s="7"/>
      <c r="I527" s="287"/>
      <c r="J527" s="288"/>
      <c r="K527" s="288"/>
      <c r="L527" s="7"/>
      <c r="M527" s="28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</row>
    <row r="528" ht="18.75" customHeight="1">
      <c r="A528" s="7"/>
      <c r="B528" s="284"/>
      <c r="C528" s="7"/>
      <c r="D528" s="285"/>
      <c r="E528" s="286"/>
      <c r="F528" s="7"/>
      <c r="G528" s="7"/>
      <c r="H528" s="7"/>
      <c r="I528" s="287"/>
      <c r="J528" s="288"/>
      <c r="K528" s="288"/>
      <c r="L528" s="7"/>
      <c r="M528" s="28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</row>
    <row r="529" ht="18.75" customHeight="1">
      <c r="A529" s="7"/>
      <c r="B529" s="284"/>
      <c r="C529" s="7"/>
      <c r="D529" s="285"/>
      <c r="E529" s="286"/>
      <c r="F529" s="7"/>
      <c r="G529" s="7"/>
      <c r="H529" s="7"/>
      <c r="I529" s="287"/>
      <c r="J529" s="288"/>
      <c r="K529" s="288"/>
      <c r="L529" s="7"/>
      <c r="M529" s="28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</row>
    <row r="530" ht="18.75" customHeight="1">
      <c r="A530" s="7"/>
      <c r="B530" s="284"/>
      <c r="C530" s="7"/>
      <c r="D530" s="285"/>
      <c r="E530" s="286"/>
      <c r="F530" s="7"/>
      <c r="G530" s="7"/>
      <c r="H530" s="7"/>
      <c r="I530" s="287"/>
      <c r="J530" s="288"/>
      <c r="K530" s="288"/>
      <c r="L530" s="7"/>
      <c r="M530" s="28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</row>
    <row r="531" ht="18.75" customHeight="1">
      <c r="A531" s="7"/>
      <c r="B531" s="284"/>
      <c r="C531" s="7"/>
      <c r="D531" s="285"/>
      <c r="E531" s="286"/>
      <c r="F531" s="7"/>
      <c r="G531" s="7"/>
      <c r="H531" s="7"/>
      <c r="I531" s="287"/>
      <c r="J531" s="288"/>
      <c r="K531" s="288"/>
      <c r="L531" s="7"/>
      <c r="M531" s="28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</row>
    <row r="532" ht="18.75" customHeight="1">
      <c r="A532" s="7"/>
      <c r="B532" s="284"/>
      <c r="C532" s="7"/>
      <c r="D532" s="285"/>
      <c r="E532" s="286"/>
      <c r="F532" s="7"/>
      <c r="G532" s="7"/>
      <c r="H532" s="7"/>
      <c r="I532" s="287"/>
      <c r="J532" s="288"/>
      <c r="K532" s="288"/>
      <c r="L532" s="7"/>
      <c r="M532" s="28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</row>
    <row r="533" ht="18.75" customHeight="1">
      <c r="A533" s="7"/>
      <c r="B533" s="284"/>
      <c r="C533" s="7"/>
      <c r="D533" s="285"/>
      <c r="E533" s="286"/>
      <c r="F533" s="7"/>
      <c r="G533" s="7"/>
      <c r="H533" s="7"/>
      <c r="I533" s="287"/>
      <c r="J533" s="288"/>
      <c r="K533" s="288"/>
      <c r="L533" s="7"/>
      <c r="M533" s="28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</row>
    <row r="534" ht="18.75" customHeight="1">
      <c r="A534" s="7"/>
      <c r="B534" s="284"/>
      <c r="C534" s="7"/>
      <c r="D534" s="285"/>
      <c r="E534" s="286"/>
      <c r="F534" s="7"/>
      <c r="G534" s="7"/>
      <c r="H534" s="7"/>
      <c r="I534" s="287"/>
      <c r="J534" s="288"/>
      <c r="K534" s="288"/>
      <c r="L534" s="7"/>
      <c r="M534" s="28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</row>
    <row r="535" ht="18.75" customHeight="1">
      <c r="A535" s="7"/>
      <c r="B535" s="284"/>
      <c r="C535" s="7"/>
      <c r="D535" s="285"/>
      <c r="E535" s="286"/>
      <c r="F535" s="7"/>
      <c r="G535" s="7"/>
      <c r="H535" s="7"/>
      <c r="I535" s="287"/>
      <c r="J535" s="288"/>
      <c r="K535" s="288"/>
      <c r="L535" s="7"/>
      <c r="M535" s="28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</row>
    <row r="536" ht="18.75" customHeight="1">
      <c r="A536" s="7"/>
      <c r="B536" s="284"/>
      <c r="C536" s="7"/>
      <c r="D536" s="285"/>
      <c r="E536" s="286"/>
      <c r="F536" s="7"/>
      <c r="G536" s="7"/>
      <c r="H536" s="7"/>
      <c r="I536" s="287"/>
      <c r="J536" s="288"/>
      <c r="K536" s="288"/>
      <c r="L536" s="7"/>
      <c r="M536" s="28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</row>
    <row r="537" ht="18.75" customHeight="1">
      <c r="A537" s="7"/>
      <c r="B537" s="284"/>
      <c r="C537" s="7"/>
      <c r="D537" s="285"/>
      <c r="E537" s="286"/>
      <c r="F537" s="7"/>
      <c r="G537" s="7"/>
      <c r="H537" s="7"/>
      <c r="I537" s="287"/>
      <c r="J537" s="288"/>
      <c r="K537" s="288"/>
      <c r="L537" s="7"/>
      <c r="M537" s="28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</row>
    <row r="538" ht="18.75" customHeight="1">
      <c r="A538" s="7"/>
      <c r="B538" s="284"/>
      <c r="C538" s="7"/>
      <c r="D538" s="285"/>
      <c r="E538" s="286"/>
      <c r="F538" s="7"/>
      <c r="G538" s="7"/>
      <c r="H538" s="7"/>
      <c r="I538" s="287"/>
      <c r="J538" s="288"/>
      <c r="K538" s="288"/>
      <c r="L538" s="7"/>
      <c r="M538" s="28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</row>
    <row r="539" ht="18.75" customHeight="1">
      <c r="A539" s="7"/>
      <c r="B539" s="284"/>
      <c r="C539" s="7"/>
      <c r="D539" s="285"/>
      <c r="E539" s="286"/>
      <c r="F539" s="7"/>
      <c r="G539" s="7"/>
      <c r="H539" s="7"/>
      <c r="I539" s="287"/>
      <c r="J539" s="288"/>
      <c r="K539" s="288"/>
      <c r="L539" s="7"/>
      <c r="M539" s="28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</row>
    <row r="540" ht="18.75" customHeight="1">
      <c r="A540" s="7"/>
      <c r="B540" s="284"/>
      <c r="C540" s="7"/>
      <c r="D540" s="285"/>
      <c r="E540" s="286"/>
      <c r="F540" s="7"/>
      <c r="G540" s="7"/>
      <c r="H540" s="7"/>
      <c r="I540" s="287"/>
      <c r="J540" s="288"/>
      <c r="K540" s="288"/>
      <c r="L540" s="7"/>
      <c r="M540" s="28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</row>
    <row r="541" ht="18.75" customHeight="1">
      <c r="A541" s="7"/>
      <c r="B541" s="284"/>
      <c r="C541" s="7"/>
      <c r="D541" s="285"/>
      <c r="E541" s="286"/>
      <c r="F541" s="7"/>
      <c r="G541" s="7"/>
      <c r="H541" s="7"/>
      <c r="I541" s="287"/>
      <c r="J541" s="288"/>
      <c r="K541" s="288"/>
      <c r="L541" s="7"/>
      <c r="M541" s="28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</row>
    <row r="542" ht="18.75" customHeight="1">
      <c r="A542" s="7"/>
      <c r="B542" s="284"/>
      <c r="C542" s="7"/>
      <c r="D542" s="285"/>
      <c r="E542" s="286"/>
      <c r="F542" s="7"/>
      <c r="G542" s="7"/>
      <c r="H542" s="7"/>
      <c r="I542" s="287"/>
      <c r="J542" s="288"/>
      <c r="K542" s="288"/>
      <c r="L542" s="7"/>
      <c r="M542" s="28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</row>
    <row r="543" ht="18.75" customHeight="1">
      <c r="A543" s="7"/>
      <c r="B543" s="284"/>
      <c r="C543" s="7"/>
      <c r="D543" s="285"/>
      <c r="E543" s="286"/>
      <c r="F543" s="7"/>
      <c r="G543" s="7"/>
      <c r="H543" s="7"/>
      <c r="I543" s="287"/>
      <c r="J543" s="288"/>
      <c r="K543" s="288"/>
      <c r="L543" s="7"/>
      <c r="M543" s="28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</row>
    <row r="544" ht="18.75" customHeight="1">
      <c r="A544" s="7"/>
      <c r="B544" s="284"/>
      <c r="C544" s="7"/>
      <c r="D544" s="285"/>
      <c r="E544" s="286"/>
      <c r="F544" s="7"/>
      <c r="G544" s="7"/>
      <c r="H544" s="7"/>
      <c r="I544" s="287"/>
      <c r="J544" s="288"/>
      <c r="K544" s="288"/>
      <c r="L544" s="7"/>
      <c r="M544" s="28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</row>
    <row r="545" ht="18.75" customHeight="1">
      <c r="A545" s="7"/>
      <c r="B545" s="284"/>
      <c r="C545" s="7"/>
      <c r="D545" s="285"/>
      <c r="E545" s="286"/>
      <c r="F545" s="7"/>
      <c r="G545" s="7"/>
      <c r="H545" s="7"/>
      <c r="I545" s="287"/>
      <c r="J545" s="288"/>
      <c r="K545" s="288"/>
      <c r="L545" s="7"/>
      <c r="M545" s="28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</row>
    <row r="546" ht="18.75" customHeight="1">
      <c r="A546" s="7"/>
      <c r="B546" s="284"/>
      <c r="C546" s="7"/>
      <c r="D546" s="285"/>
      <c r="E546" s="286"/>
      <c r="F546" s="7"/>
      <c r="G546" s="7"/>
      <c r="H546" s="7"/>
      <c r="I546" s="287"/>
      <c r="J546" s="288"/>
      <c r="K546" s="288"/>
      <c r="L546" s="7"/>
      <c r="M546" s="28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</row>
    <row r="547" ht="18.75" customHeight="1">
      <c r="A547" s="7"/>
      <c r="B547" s="284"/>
      <c r="C547" s="7"/>
      <c r="D547" s="285"/>
      <c r="E547" s="286"/>
      <c r="F547" s="7"/>
      <c r="G547" s="7"/>
      <c r="H547" s="7"/>
      <c r="I547" s="287"/>
      <c r="J547" s="288"/>
      <c r="K547" s="288"/>
      <c r="L547" s="7"/>
      <c r="M547" s="28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</row>
    <row r="548" ht="18.75" customHeight="1">
      <c r="A548" s="7"/>
      <c r="B548" s="284"/>
      <c r="C548" s="7"/>
      <c r="D548" s="285"/>
      <c r="E548" s="286"/>
      <c r="F548" s="7"/>
      <c r="G548" s="7"/>
      <c r="H548" s="7"/>
      <c r="I548" s="287"/>
      <c r="J548" s="288"/>
      <c r="K548" s="288"/>
      <c r="L548" s="7"/>
      <c r="M548" s="28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</row>
    <row r="549" ht="18.75" customHeight="1">
      <c r="A549" s="7"/>
      <c r="B549" s="284"/>
      <c r="C549" s="7"/>
      <c r="D549" s="285"/>
      <c r="E549" s="286"/>
      <c r="F549" s="7"/>
      <c r="G549" s="7"/>
      <c r="H549" s="7"/>
      <c r="I549" s="287"/>
      <c r="J549" s="288"/>
      <c r="K549" s="288"/>
      <c r="L549" s="7"/>
      <c r="M549" s="28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</row>
    <row r="550" ht="18.75" customHeight="1">
      <c r="A550" s="7"/>
      <c r="B550" s="284"/>
      <c r="C550" s="7"/>
      <c r="D550" s="285"/>
      <c r="E550" s="286"/>
      <c r="F550" s="7"/>
      <c r="G550" s="7"/>
      <c r="H550" s="7"/>
      <c r="I550" s="287"/>
      <c r="J550" s="288"/>
      <c r="K550" s="288"/>
      <c r="L550" s="7"/>
      <c r="M550" s="28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</row>
    <row r="551" ht="18.75" customHeight="1">
      <c r="A551" s="7"/>
      <c r="B551" s="284"/>
      <c r="C551" s="7"/>
      <c r="D551" s="285"/>
      <c r="E551" s="286"/>
      <c r="F551" s="7"/>
      <c r="G551" s="7"/>
      <c r="H551" s="7"/>
      <c r="I551" s="287"/>
      <c r="J551" s="288"/>
      <c r="K551" s="288"/>
      <c r="L551" s="7"/>
      <c r="M551" s="28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</row>
    <row r="552" ht="18.75" customHeight="1">
      <c r="A552" s="7"/>
      <c r="B552" s="284"/>
      <c r="C552" s="7"/>
      <c r="D552" s="285"/>
      <c r="E552" s="286"/>
      <c r="F552" s="7"/>
      <c r="G552" s="7"/>
      <c r="H552" s="7"/>
      <c r="I552" s="287"/>
      <c r="J552" s="288"/>
      <c r="K552" s="288"/>
      <c r="L552" s="7"/>
      <c r="M552" s="28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</row>
    <row r="553" ht="18.75" customHeight="1">
      <c r="A553" s="7"/>
      <c r="B553" s="284"/>
      <c r="C553" s="7"/>
      <c r="D553" s="285"/>
      <c r="E553" s="286"/>
      <c r="F553" s="7"/>
      <c r="G553" s="7"/>
      <c r="H553" s="7"/>
      <c r="I553" s="287"/>
      <c r="J553" s="288"/>
      <c r="K553" s="288"/>
      <c r="L553" s="7"/>
      <c r="M553" s="28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</row>
    <row r="554" ht="18.75" customHeight="1">
      <c r="A554" s="7"/>
      <c r="B554" s="284"/>
      <c r="C554" s="7"/>
      <c r="D554" s="285"/>
      <c r="E554" s="286"/>
      <c r="F554" s="7"/>
      <c r="G554" s="7"/>
      <c r="H554" s="7"/>
      <c r="I554" s="287"/>
      <c r="J554" s="288"/>
      <c r="K554" s="288"/>
      <c r="L554" s="7"/>
      <c r="M554" s="28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</row>
    <row r="555" ht="18.75" customHeight="1">
      <c r="A555" s="7"/>
      <c r="B555" s="284"/>
      <c r="C555" s="7"/>
      <c r="D555" s="285"/>
      <c r="E555" s="286"/>
      <c r="F555" s="7"/>
      <c r="G555" s="7"/>
      <c r="H555" s="7"/>
      <c r="I555" s="287"/>
      <c r="J555" s="288"/>
      <c r="K555" s="288"/>
      <c r="L555" s="7"/>
      <c r="M555" s="28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</row>
    <row r="556" ht="18.75" customHeight="1">
      <c r="A556" s="7"/>
      <c r="B556" s="284"/>
      <c r="C556" s="7"/>
      <c r="D556" s="285"/>
      <c r="E556" s="286"/>
      <c r="F556" s="7"/>
      <c r="G556" s="7"/>
      <c r="H556" s="7"/>
      <c r="I556" s="287"/>
      <c r="J556" s="288"/>
      <c r="K556" s="288"/>
      <c r="L556" s="7"/>
      <c r="M556" s="28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</row>
    <row r="557" ht="18.75" customHeight="1">
      <c r="A557" s="7"/>
      <c r="B557" s="284"/>
      <c r="C557" s="7"/>
      <c r="D557" s="285"/>
      <c r="E557" s="286"/>
      <c r="F557" s="7"/>
      <c r="G557" s="7"/>
      <c r="H557" s="7"/>
      <c r="I557" s="287"/>
      <c r="J557" s="288"/>
      <c r="K557" s="288"/>
      <c r="L557" s="7"/>
      <c r="M557" s="28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</row>
    <row r="558" ht="18.75" customHeight="1">
      <c r="A558" s="7"/>
      <c r="B558" s="284"/>
      <c r="C558" s="7"/>
      <c r="D558" s="285"/>
      <c r="E558" s="286"/>
      <c r="F558" s="7"/>
      <c r="G558" s="7"/>
      <c r="H558" s="7"/>
      <c r="I558" s="287"/>
      <c r="J558" s="288"/>
      <c r="K558" s="288"/>
      <c r="L558" s="7"/>
      <c r="M558" s="28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</row>
    <row r="559" ht="18.75" customHeight="1">
      <c r="A559" s="7"/>
      <c r="B559" s="284"/>
      <c r="C559" s="7"/>
      <c r="D559" s="285"/>
      <c r="E559" s="286"/>
      <c r="F559" s="7"/>
      <c r="G559" s="7"/>
      <c r="H559" s="7"/>
      <c r="I559" s="287"/>
      <c r="J559" s="288"/>
      <c r="K559" s="288"/>
      <c r="L559" s="7"/>
      <c r="M559" s="28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</row>
    <row r="560" ht="18.75" customHeight="1">
      <c r="A560" s="7"/>
      <c r="B560" s="284"/>
      <c r="C560" s="7"/>
      <c r="D560" s="285"/>
      <c r="E560" s="286"/>
      <c r="F560" s="7"/>
      <c r="G560" s="7"/>
      <c r="H560" s="7"/>
      <c r="I560" s="287"/>
      <c r="J560" s="288"/>
      <c r="K560" s="288"/>
      <c r="L560" s="7"/>
      <c r="M560" s="28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</row>
    <row r="561" ht="18.75" customHeight="1">
      <c r="A561" s="7"/>
      <c r="B561" s="284"/>
      <c r="C561" s="7"/>
      <c r="D561" s="285"/>
      <c r="E561" s="286"/>
      <c r="F561" s="7"/>
      <c r="G561" s="7"/>
      <c r="H561" s="7"/>
      <c r="I561" s="287"/>
      <c r="J561" s="288"/>
      <c r="K561" s="288"/>
      <c r="L561" s="7"/>
      <c r="M561" s="28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</row>
    <row r="562" ht="18.75" customHeight="1">
      <c r="A562" s="7"/>
      <c r="B562" s="284"/>
      <c r="C562" s="7"/>
      <c r="D562" s="285"/>
      <c r="E562" s="286"/>
      <c r="F562" s="7"/>
      <c r="G562" s="7"/>
      <c r="H562" s="7"/>
      <c r="I562" s="287"/>
      <c r="J562" s="288"/>
      <c r="K562" s="288"/>
      <c r="L562" s="7"/>
      <c r="M562" s="28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</row>
    <row r="563" ht="18.75" customHeight="1">
      <c r="A563" s="7"/>
      <c r="B563" s="284"/>
      <c r="C563" s="7"/>
      <c r="D563" s="285"/>
      <c r="E563" s="286"/>
      <c r="F563" s="7"/>
      <c r="G563" s="7"/>
      <c r="H563" s="7"/>
      <c r="I563" s="287"/>
      <c r="J563" s="288"/>
      <c r="K563" s="288"/>
      <c r="L563" s="7"/>
      <c r="M563" s="28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</row>
    <row r="564" ht="18.75" customHeight="1">
      <c r="A564" s="7"/>
      <c r="B564" s="284"/>
      <c r="C564" s="7"/>
      <c r="D564" s="285"/>
      <c r="E564" s="286"/>
      <c r="F564" s="7"/>
      <c r="G564" s="7"/>
      <c r="H564" s="7"/>
      <c r="I564" s="287"/>
      <c r="J564" s="288"/>
      <c r="K564" s="288"/>
      <c r="L564" s="7"/>
      <c r="M564" s="28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</row>
    <row r="565" ht="18.75" customHeight="1">
      <c r="A565" s="7"/>
      <c r="B565" s="284"/>
      <c r="C565" s="7"/>
      <c r="D565" s="285"/>
      <c r="E565" s="286"/>
      <c r="F565" s="7"/>
      <c r="G565" s="7"/>
      <c r="H565" s="7"/>
      <c r="I565" s="287"/>
      <c r="J565" s="288"/>
      <c r="K565" s="288"/>
      <c r="L565" s="7"/>
      <c r="M565" s="28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</row>
    <row r="566" ht="18.75" customHeight="1">
      <c r="A566" s="7"/>
      <c r="B566" s="284"/>
      <c r="C566" s="7"/>
      <c r="D566" s="285"/>
      <c r="E566" s="286"/>
      <c r="F566" s="7"/>
      <c r="G566" s="7"/>
      <c r="H566" s="7"/>
      <c r="I566" s="287"/>
      <c r="J566" s="288"/>
      <c r="K566" s="288"/>
      <c r="L566" s="7"/>
      <c r="M566" s="28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</row>
    <row r="567" ht="18.75" customHeight="1">
      <c r="A567" s="7"/>
      <c r="B567" s="284"/>
      <c r="C567" s="7"/>
      <c r="D567" s="285"/>
      <c r="E567" s="286"/>
      <c r="F567" s="7"/>
      <c r="G567" s="7"/>
      <c r="H567" s="7"/>
      <c r="I567" s="287"/>
      <c r="J567" s="288"/>
      <c r="K567" s="288"/>
      <c r="L567" s="7"/>
      <c r="M567" s="28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</row>
    <row r="568" ht="18.75" customHeight="1">
      <c r="A568" s="7"/>
      <c r="B568" s="284"/>
      <c r="C568" s="7"/>
      <c r="D568" s="285"/>
      <c r="E568" s="286"/>
      <c r="F568" s="7"/>
      <c r="G568" s="7"/>
      <c r="H568" s="7"/>
      <c r="I568" s="287"/>
      <c r="J568" s="288"/>
      <c r="K568" s="288"/>
      <c r="L568" s="7"/>
      <c r="M568" s="28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</row>
    <row r="569" ht="18.75" customHeight="1">
      <c r="A569" s="7"/>
      <c r="B569" s="284"/>
      <c r="C569" s="7"/>
      <c r="D569" s="285"/>
      <c r="E569" s="286"/>
      <c r="F569" s="7"/>
      <c r="G569" s="7"/>
      <c r="H569" s="7"/>
      <c r="I569" s="287"/>
      <c r="J569" s="288"/>
      <c r="K569" s="288"/>
      <c r="L569" s="7"/>
      <c r="M569" s="28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</row>
    <row r="570" ht="18.75" customHeight="1">
      <c r="A570" s="7"/>
      <c r="B570" s="284"/>
      <c r="C570" s="7"/>
      <c r="D570" s="285"/>
      <c r="E570" s="286"/>
      <c r="F570" s="7"/>
      <c r="G570" s="7"/>
      <c r="H570" s="7"/>
      <c r="I570" s="287"/>
      <c r="J570" s="288"/>
      <c r="K570" s="288"/>
      <c r="L570" s="7"/>
      <c r="M570" s="28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</row>
    <row r="571" ht="18.75" customHeight="1">
      <c r="A571" s="7"/>
      <c r="B571" s="284"/>
      <c r="C571" s="7"/>
      <c r="D571" s="285"/>
      <c r="E571" s="286"/>
      <c r="F571" s="7"/>
      <c r="G571" s="7"/>
      <c r="H571" s="7"/>
      <c r="I571" s="287"/>
      <c r="J571" s="288"/>
      <c r="K571" s="288"/>
      <c r="L571" s="7"/>
      <c r="M571" s="28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</row>
    <row r="572" ht="18.75" customHeight="1">
      <c r="A572" s="7"/>
      <c r="B572" s="284"/>
      <c r="C572" s="7"/>
      <c r="D572" s="285"/>
      <c r="E572" s="286"/>
      <c r="F572" s="7"/>
      <c r="G572" s="7"/>
      <c r="H572" s="7"/>
      <c r="I572" s="287"/>
      <c r="J572" s="288"/>
      <c r="K572" s="288"/>
      <c r="L572" s="7"/>
      <c r="M572" s="28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</row>
    <row r="573" ht="18.75" customHeight="1">
      <c r="A573" s="7"/>
      <c r="B573" s="284"/>
      <c r="C573" s="7"/>
      <c r="D573" s="285"/>
      <c r="E573" s="286"/>
      <c r="F573" s="7"/>
      <c r="G573" s="7"/>
      <c r="H573" s="7"/>
      <c r="I573" s="287"/>
      <c r="J573" s="288"/>
      <c r="K573" s="288"/>
      <c r="L573" s="7"/>
      <c r="M573" s="28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</row>
    <row r="574" ht="18.75" customHeight="1">
      <c r="A574" s="7"/>
      <c r="B574" s="284"/>
      <c r="C574" s="7"/>
      <c r="D574" s="285"/>
      <c r="E574" s="286"/>
      <c r="F574" s="7"/>
      <c r="G574" s="7"/>
      <c r="H574" s="7"/>
      <c r="I574" s="287"/>
      <c r="J574" s="288"/>
      <c r="K574" s="288"/>
      <c r="L574" s="7"/>
      <c r="M574" s="28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</row>
    <row r="575" ht="18.75" customHeight="1">
      <c r="A575" s="7"/>
      <c r="B575" s="284"/>
      <c r="C575" s="7"/>
      <c r="D575" s="285"/>
      <c r="E575" s="286"/>
      <c r="F575" s="7"/>
      <c r="G575" s="7"/>
      <c r="H575" s="7"/>
      <c r="I575" s="287"/>
      <c r="J575" s="288"/>
      <c r="K575" s="288"/>
      <c r="L575" s="7"/>
      <c r="M575" s="28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</row>
    <row r="576" ht="18.75" customHeight="1">
      <c r="A576" s="7"/>
      <c r="B576" s="284"/>
      <c r="C576" s="7"/>
      <c r="D576" s="285"/>
      <c r="E576" s="286"/>
      <c r="F576" s="7"/>
      <c r="G576" s="7"/>
      <c r="H576" s="7"/>
      <c r="I576" s="287"/>
      <c r="J576" s="288"/>
      <c r="K576" s="288"/>
      <c r="L576" s="7"/>
      <c r="M576" s="28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</row>
    <row r="577" ht="18.75" customHeight="1">
      <c r="A577" s="7"/>
      <c r="B577" s="284"/>
      <c r="C577" s="7"/>
      <c r="D577" s="285"/>
      <c r="E577" s="286"/>
      <c r="F577" s="7"/>
      <c r="G577" s="7"/>
      <c r="H577" s="7"/>
      <c r="I577" s="287"/>
      <c r="J577" s="288"/>
      <c r="K577" s="288"/>
      <c r="L577" s="7"/>
      <c r="M577" s="28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</row>
    <row r="578" ht="18.75" customHeight="1">
      <c r="A578" s="7"/>
      <c r="B578" s="284"/>
      <c r="C578" s="7"/>
      <c r="D578" s="285"/>
      <c r="E578" s="286"/>
      <c r="F578" s="7"/>
      <c r="G578" s="7"/>
      <c r="H578" s="7"/>
      <c r="I578" s="287"/>
      <c r="J578" s="288"/>
      <c r="K578" s="288"/>
      <c r="L578" s="7"/>
      <c r="M578" s="28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</row>
    <row r="579" ht="18.75" customHeight="1">
      <c r="A579" s="7"/>
      <c r="B579" s="284"/>
      <c r="C579" s="7"/>
      <c r="D579" s="285"/>
      <c r="E579" s="286"/>
      <c r="F579" s="7"/>
      <c r="G579" s="7"/>
      <c r="H579" s="7"/>
      <c r="I579" s="287"/>
      <c r="J579" s="288"/>
      <c r="K579" s="288"/>
      <c r="L579" s="7"/>
      <c r="M579" s="28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</row>
    <row r="580" ht="18.75" customHeight="1">
      <c r="A580" s="7"/>
      <c r="B580" s="284"/>
      <c r="C580" s="7"/>
      <c r="D580" s="285"/>
      <c r="E580" s="286"/>
      <c r="F580" s="7"/>
      <c r="G580" s="7"/>
      <c r="H580" s="7"/>
      <c r="I580" s="287"/>
      <c r="J580" s="288"/>
      <c r="K580" s="288"/>
      <c r="L580" s="7"/>
      <c r="M580" s="28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</row>
    <row r="581" ht="18.75" customHeight="1">
      <c r="A581" s="7"/>
      <c r="B581" s="284"/>
      <c r="C581" s="7"/>
      <c r="D581" s="285"/>
      <c r="E581" s="286"/>
      <c r="F581" s="7"/>
      <c r="G581" s="7"/>
      <c r="H581" s="7"/>
      <c r="I581" s="287"/>
      <c r="J581" s="288"/>
      <c r="K581" s="288"/>
      <c r="L581" s="7"/>
      <c r="M581" s="28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</row>
    <row r="582" ht="18.75" customHeight="1">
      <c r="A582" s="7"/>
      <c r="B582" s="284"/>
      <c r="C582" s="7"/>
      <c r="D582" s="285"/>
      <c r="E582" s="286"/>
      <c r="F582" s="7"/>
      <c r="G582" s="7"/>
      <c r="H582" s="7"/>
      <c r="I582" s="287"/>
      <c r="J582" s="288"/>
      <c r="K582" s="288"/>
      <c r="L582" s="7"/>
      <c r="M582" s="28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</row>
    <row r="583" ht="18.75" customHeight="1">
      <c r="A583" s="7"/>
      <c r="B583" s="284"/>
      <c r="C583" s="7"/>
      <c r="D583" s="285"/>
      <c r="E583" s="286"/>
      <c r="F583" s="7"/>
      <c r="G583" s="7"/>
      <c r="H583" s="7"/>
      <c r="I583" s="287"/>
      <c r="J583" s="288"/>
      <c r="K583" s="288"/>
      <c r="L583" s="7"/>
      <c r="M583" s="28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</row>
    <row r="584" ht="18.75" customHeight="1">
      <c r="A584" s="7"/>
      <c r="B584" s="284"/>
      <c r="C584" s="7"/>
      <c r="D584" s="285"/>
      <c r="E584" s="286"/>
      <c r="F584" s="7"/>
      <c r="G584" s="7"/>
      <c r="H584" s="7"/>
      <c r="I584" s="287"/>
      <c r="J584" s="288"/>
      <c r="K584" s="288"/>
      <c r="L584" s="7"/>
      <c r="M584" s="28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</row>
    <row r="585" ht="18.75" customHeight="1">
      <c r="A585" s="7"/>
      <c r="B585" s="284"/>
      <c r="C585" s="7"/>
      <c r="D585" s="285"/>
      <c r="E585" s="286"/>
      <c r="F585" s="7"/>
      <c r="G585" s="7"/>
      <c r="H585" s="7"/>
      <c r="I585" s="287"/>
      <c r="J585" s="288"/>
      <c r="K585" s="288"/>
      <c r="L585" s="7"/>
      <c r="M585" s="28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</row>
    <row r="586" ht="18.75" customHeight="1">
      <c r="A586" s="7"/>
      <c r="B586" s="284"/>
      <c r="C586" s="7"/>
      <c r="D586" s="285"/>
      <c r="E586" s="286"/>
      <c r="F586" s="7"/>
      <c r="G586" s="7"/>
      <c r="H586" s="7"/>
      <c r="I586" s="287"/>
      <c r="J586" s="288"/>
      <c r="K586" s="288"/>
      <c r="L586" s="7"/>
      <c r="M586" s="28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</row>
    <row r="587" ht="18.75" customHeight="1">
      <c r="A587" s="7"/>
      <c r="B587" s="284"/>
      <c r="C587" s="7"/>
      <c r="D587" s="285"/>
      <c r="E587" s="286"/>
      <c r="F587" s="7"/>
      <c r="G587" s="7"/>
      <c r="H587" s="7"/>
      <c r="I587" s="287"/>
      <c r="J587" s="288"/>
      <c r="K587" s="288"/>
      <c r="L587" s="7"/>
      <c r="M587" s="28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</row>
    <row r="588" ht="18.75" customHeight="1">
      <c r="A588" s="7"/>
      <c r="B588" s="284"/>
      <c r="C588" s="7"/>
      <c r="D588" s="285"/>
      <c r="E588" s="286"/>
      <c r="F588" s="7"/>
      <c r="G588" s="7"/>
      <c r="H588" s="7"/>
      <c r="I588" s="287"/>
      <c r="J588" s="288"/>
      <c r="K588" s="288"/>
      <c r="L588" s="7"/>
      <c r="M588" s="28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</row>
    <row r="589" ht="18.75" customHeight="1">
      <c r="A589" s="7"/>
      <c r="B589" s="284"/>
      <c r="C589" s="7"/>
      <c r="D589" s="285"/>
      <c r="E589" s="286"/>
      <c r="F589" s="7"/>
      <c r="G589" s="7"/>
      <c r="H589" s="7"/>
      <c r="I589" s="287"/>
      <c r="J589" s="288"/>
      <c r="K589" s="288"/>
      <c r="L589" s="7"/>
      <c r="M589" s="28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</row>
    <row r="590" ht="18.75" customHeight="1">
      <c r="A590" s="7"/>
      <c r="B590" s="284"/>
      <c r="C590" s="7"/>
      <c r="D590" s="285"/>
      <c r="E590" s="286"/>
      <c r="F590" s="7"/>
      <c r="G590" s="7"/>
      <c r="H590" s="7"/>
      <c r="I590" s="287"/>
      <c r="J590" s="288"/>
      <c r="K590" s="288"/>
      <c r="L590" s="7"/>
      <c r="M590" s="28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</row>
    <row r="591" ht="18.75" customHeight="1">
      <c r="A591" s="7"/>
      <c r="B591" s="284"/>
      <c r="C591" s="7"/>
      <c r="D591" s="285"/>
      <c r="E591" s="286"/>
      <c r="F591" s="7"/>
      <c r="G591" s="7"/>
      <c r="H591" s="7"/>
      <c r="I591" s="287"/>
      <c r="J591" s="288"/>
      <c r="K591" s="288"/>
      <c r="L591" s="7"/>
      <c r="M591" s="28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</row>
    <row r="592" ht="18.75" customHeight="1">
      <c r="A592" s="7"/>
      <c r="B592" s="284"/>
      <c r="C592" s="7"/>
      <c r="D592" s="285"/>
      <c r="E592" s="286"/>
      <c r="F592" s="7"/>
      <c r="G592" s="7"/>
      <c r="H592" s="7"/>
      <c r="I592" s="287"/>
      <c r="J592" s="288"/>
      <c r="K592" s="288"/>
      <c r="L592" s="7"/>
      <c r="M592" s="28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</row>
    <row r="593" ht="18.75" customHeight="1">
      <c r="A593" s="7"/>
      <c r="B593" s="284"/>
      <c r="C593" s="7"/>
      <c r="D593" s="285"/>
      <c r="E593" s="286"/>
      <c r="F593" s="7"/>
      <c r="G593" s="7"/>
      <c r="H593" s="7"/>
      <c r="I593" s="287"/>
      <c r="J593" s="288"/>
      <c r="K593" s="288"/>
      <c r="L593" s="7"/>
      <c r="M593" s="28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</row>
    <row r="594" ht="18.75" customHeight="1">
      <c r="A594" s="7"/>
      <c r="B594" s="284"/>
      <c r="C594" s="7"/>
      <c r="D594" s="285"/>
      <c r="E594" s="286"/>
      <c r="F594" s="7"/>
      <c r="G594" s="7"/>
      <c r="H594" s="7"/>
      <c r="I594" s="287"/>
      <c r="J594" s="288"/>
      <c r="K594" s="288"/>
      <c r="L594" s="7"/>
      <c r="M594" s="28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</row>
    <row r="595" ht="18.75" customHeight="1">
      <c r="A595" s="7"/>
      <c r="B595" s="284"/>
      <c r="C595" s="7"/>
      <c r="D595" s="285"/>
      <c r="E595" s="286"/>
      <c r="F595" s="7"/>
      <c r="G595" s="7"/>
      <c r="H595" s="7"/>
      <c r="I595" s="287"/>
      <c r="J595" s="288"/>
      <c r="K595" s="288"/>
      <c r="L595" s="7"/>
      <c r="M595" s="28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</row>
    <row r="596" ht="18.75" customHeight="1">
      <c r="A596" s="7"/>
      <c r="B596" s="284"/>
      <c r="C596" s="7"/>
      <c r="D596" s="285"/>
      <c r="E596" s="286"/>
      <c r="F596" s="7"/>
      <c r="G596" s="7"/>
      <c r="H596" s="7"/>
      <c r="I596" s="287"/>
      <c r="J596" s="288"/>
      <c r="K596" s="288"/>
      <c r="L596" s="7"/>
      <c r="M596" s="28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</row>
    <row r="597" ht="18.75" customHeight="1">
      <c r="A597" s="7"/>
      <c r="B597" s="284"/>
      <c r="C597" s="7"/>
      <c r="D597" s="285"/>
      <c r="E597" s="286"/>
      <c r="F597" s="7"/>
      <c r="G597" s="7"/>
      <c r="H597" s="7"/>
      <c r="I597" s="287"/>
      <c r="J597" s="288"/>
      <c r="K597" s="288"/>
      <c r="L597" s="7"/>
      <c r="M597" s="28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</row>
    <row r="598" ht="18.75" customHeight="1">
      <c r="A598" s="7"/>
      <c r="B598" s="284"/>
      <c r="C598" s="7"/>
      <c r="D598" s="285"/>
      <c r="E598" s="286"/>
      <c r="F598" s="7"/>
      <c r="G598" s="7"/>
      <c r="H598" s="7"/>
      <c r="I598" s="287"/>
      <c r="J598" s="288"/>
      <c r="K598" s="288"/>
      <c r="L598" s="7"/>
      <c r="M598" s="28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</row>
    <row r="599" ht="18.75" customHeight="1">
      <c r="A599" s="7"/>
      <c r="B599" s="284"/>
      <c r="C599" s="7"/>
      <c r="D599" s="285"/>
      <c r="E599" s="286"/>
      <c r="F599" s="7"/>
      <c r="G599" s="7"/>
      <c r="H599" s="7"/>
      <c r="I599" s="287"/>
      <c r="J599" s="288"/>
      <c r="K599" s="288"/>
      <c r="L599" s="7"/>
      <c r="M599" s="28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</row>
    <row r="600" ht="18.75" customHeight="1">
      <c r="A600" s="7"/>
      <c r="B600" s="284"/>
      <c r="C600" s="7"/>
      <c r="D600" s="285"/>
      <c r="E600" s="286"/>
      <c r="F600" s="7"/>
      <c r="G600" s="7"/>
      <c r="H600" s="7"/>
      <c r="I600" s="287"/>
      <c r="J600" s="288"/>
      <c r="K600" s="288"/>
      <c r="L600" s="7"/>
      <c r="M600" s="28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</row>
    <row r="601" ht="18.75" customHeight="1">
      <c r="A601" s="7"/>
      <c r="B601" s="284"/>
      <c r="C601" s="7"/>
      <c r="D601" s="285"/>
      <c r="E601" s="286"/>
      <c r="F601" s="7"/>
      <c r="G601" s="7"/>
      <c r="H601" s="7"/>
      <c r="I601" s="287"/>
      <c r="J601" s="288"/>
      <c r="K601" s="288"/>
      <c r="L601" s="7"/>
      <c r="M601" s="28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</row>
    <row r="602" ht="18.75" customHeight="1">
      <c r="A602" s="7"/>
      <c r="B602" s="284"/>
      <c r="C602" s="7"/>
      <c r="D602" s="285"/>
      <c r="E602" s="286"/>
      <c r="F602" s="7"/>
      <c r="G602" s="7"/>
      <c r="H602" s="7"/>
      <c r="I602" s="287"/>
      <c r="J602" s="288"/>
      <c r="K602" s="288"/>
      <c r="L602" s="7"/>
      <c r="M602" s="28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</row>
    <row r="603" ht="18.75" customHeight="1">
      <c r="A603" s="7"/>
      <c r="B603" s="284"/>
      <c r="C603" s="7"/>
      <c r="D603" s="285"/>
      <c r="E603" s="286"/>
      <c r="F603" s="7"/>
      <c r="G603" s="7"/>
      <c r="H603" s="7"/>
      <c r="I603" s="287"/>
      <c r="J603" s="288"/>
      <c r="K603" s="288"/>
      <c r="L603" s="7"/>
      <c r="M603" s="28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</row>
    <row r="604" ht="18.75" customHeight="1">
      <c r="A604" s="7"/>
      <c r="B604" s="284"/>
      <c r="C604" s="7"/>
      <c r="D604" s="285"/>
      <c r="E604" s="286"/>
      <c r="F604" s="7"/>
      <c r="G604" s="7"/>
      <c r="H604" s="7"/>
      <c r="I604" s="287"/>
      <c r="J604" s="288"/>
      <c r="K604" s="288"/>
      <c r="L604" s="7"/>
      <c r="M604" s="28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</row>
    <row r="605" ht="18.75" customHeight="1">
      <c r="A605" s="7"/>
      <c r="B605" s="284"/>
      <c r="C605" s="7"/>
      <c r="D605" s="285"/>
      <c r="E605" s="286"/>
      <c r="F605" s="7"/>
      <c r="G605" s="7"/>
      <c r="H605" s="7"/>
      <c r="I605" s="287"/>
      <c r="J605" s="288"/>
      <c r="K605" s="288"/>
      <c r="L605" s="7"/>
      <c r="M605" s="28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</row>
    <row r="606" ht="18.75" customHeight="1">
      <c r="A606" s="7"/>
      <c r="B606" s="284"/>
      <c r="C606" s="7"/>
      <c r="D606" s="285"/>
      <c r="E606" s="286"/>
      <c r="F606" s="7"/>
      <c r="G606" s="7"/>
      <c r="H606" s="7"/>
      <c r="I606" s="287"/>
      <c r="J606" s="288"/>
      <c r="K606" s="288"/>
      <c r="L606" s="7"/>
      <c r="M606" s="28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</row>
    <row r="607" ht="18.75" customHeight="1">
      <c r="A607" s="7"/>
      <c r="B607" s="284"/>
      <c r="C607" s="7"/>
      <c r="D607" s="285"/>
      <c r="E607" s="286"/>
      <c r="F607" s="7"/>
      <c r="G607" s="7"/>
      <c r="H607" s="7"/>
      <c r="I607" s="287"/>
      <c r="J607" s="288"/>
      <c r="K607" s="288"/>
      <c r="L607" s="7"/>
      <c r="M607" s="28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</row>
    <row r="608" ht="18.75" customHeight="1">
      <c r="A608" s="7"/>
      <c r="B608" s="284"/>
      <c r="C608" s="7"/>
      <c r="D608" s="285"/>
      <c r="E608" s="286"/>
      <c r="F608" s="7"/>
      <c r="G608" s="7"/>
      <c r="H608" s="7"/>
      <c r="I608" s="287"/>
      <c r="J608" s="288"/>
      <c r="K608" s="288"/>
      <c r="L608" s="7"/>
      <c r="M608" s="28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</row>
    <row r="609" ht="18.75" customHeight="1">
      <c r="A609" s="7"/>
      <c r="B609" s="284"/>
      <c r="C609" s="7"/>
      <c r="D609" s="285"/>
      <c r="E609" s="286"/>
      <c r="F609" s="7"/>
      <c r="G609" s="7"/>
      <c r="H609" s="7"/>
      <c r="I609" s="287"/>
      <c r="J609" s="288"/>
      <c r="K609" s="288"/>
      <c r="L609" s="7"/>
      <c r="M609" s="28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</row>
    <row r="610" ht="18.75" customHeight="1">
      <c r="A610" s="7"/>
      <c r="B610" s="284"/>
      <c r="C610" s="7"/>
      <c r="D610" s="285"/>
      <c r="E610" s="286"/>
      <c r="F610" s="7"/>
      <c r="G610" s="7"/>
      <c r="H610" s="7"/>
      <c r="I610" s="287"/>
      <c r="J610" s="288"/>
      <c r="K610" s="288"/>
      <c r="L610" s="7"/>
      <c r="M610" s="28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</row>
    <row r="611" ht="18.75" customHeight="1">
      <c r="A611" s="7"/>
      <c r="B611" s="284"/>
      <c r="C611" s="7"/>
      <c r="D611" s="285"/>
      <c r="E611" s="286"/>
      <c r="F611" s="7"/>
      <c r="G611" s="7"/>
      <c r="H611" s="7"/>
      <c r="I611" s="287"/>
      <c r="J611" s="288"/>
      <c r="K611" s="288"/>
      <c r="L611" s="7"/>
      <c r="M611" s="28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</row>
    <row r="612" ht="18.75" customHeight="1">
      <c r="A612" s="7"/>
      <c r="B612" s="284"/>
      <c r="C612" s="7"/>
      <c r="D612" s="285"/>
      <c r="E612" s="286"/>
      <c r="F612" s="7"/>
      <c r="G612" s="7"/>
      <c r="H612" s="7"/>
      <c r="I612" s="287"/>
      <c r="J612" s="288"/>
      <c r="K612" s="288"/>
      <c r="L612" s="7"/>
      <c r="M612" s="28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</row>
    <row r="613" ht="18.75" customHeight="1">
      <c r="A613" s="7"/>
      <c r="B613" s="284"/>
      <c r="C613" s="7"/>
      <c r="D613" s="285"/>
      <c r="E613" s="286"/>
      <c r="F613" s="7"/>
      <c r="G613" s="7"/>
      <c r="H613" s="7"/>
      <c r="I613" s="287"/>
      <c r="J613" s="288"/>
      <c r="K613" s="288"/>
      <c r="L613" s="7"/>
      <c r="M613" s="28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</row>
    <row r="614" ht="18.75" customHeight="1">
      <c r="A614" s="7"/>
      <c r="B614" s="284"/>
      <c r="C614" s="7"/>
      <c r="D614" s="285"/>
      <c r="E614" s="286"/>
      <c r="F614" s="7"/>
      <c r="G614" s="7"/>
      <c r="H614" s="7"/>
      <c r="I614" s="287"/>
      <c r="J614" s="288"/>
      <c r="K614" s="288"/>
      <c r="L614" s="7"/>
      <c r="M614" s="28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</row>
    <row r="615" ht="18.75" customHeight="1">
      <c r="A615" s="7"/>
      <c r="B615" s="284"/>
      <c r="C615" s="7"/>
      <c r="D615" s="285"/>
      <c r="E615" s="286"/>
      <c r="F615" s="7"/>
      <c r="G615" s="7"/>
      <c r="H615" s="7"/>
      <c r="I615" s="287"/>
      <c r="J615" s="288"/>
      <c r="K615" s="288"/>
      <c r="L615" s="7"/>
      <c r="M615" s="28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</row>
    <row r="616" ht="18.75" customHeight="1">
      <c r="A616" s="7"/>
      <c r="B616" s="284"/>
      <c r="C616" s="7"/>
      <c r="D616" s="285"/>
      <c r="E616" s="286"/>
      <c r="F616" s="7"/>
      <c r="G616" s="7"/>
      <c r="H616" s="7"/>
      <c r="I616" s="287"/>
      <c r="J616" s="288"/>
      <c r="K616" s="288"/>
      <c r="L616" s="7"/>
      <c r="M616" s="28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</row>
    <row r="617" ht="18.75" customHeight="1">
      <c r="A617" s="7"/>
      <c r="B617" s="284"/>
      <c r="C617" s="7"/>
      <c r="D617" s="285"/>
      <c r="E617" s="286"/>
      <c r="F617" s="7"/>
      <c r="G617" s="7"/>
      <c r="H617" s="7"/>
      <c r="I617" s="287"/>
      <c r="J617" s="288"/>
      <c r="K617" s="288"/>
      <c r="L617" s="7"/>
      <c r="M617" s="28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</row>
    <row r="618" ht="18.75" customHeight="1">
      <c r="A618" s="7"/>
      <c r="B618" s="284"/>
      <c r="C618" s="7"/>
      <c r="D618" s="285"/>
      <c r="E618" s="286"/>
      <c r="F618" s="7"/>
      <c r="G618" s="7"/>
      <c r="H618" s="7"/>
      <c r="I618" s="287"/>
      <c r="J618" s="288"/>
      <c r="K618" s="288"/>
      <c r="L618" s="7"/>
      <c r="M618" s="28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</row>
    <row r="619" ht="18.75" customHeight="1">
      <c r="A619" s="7"/>
      <c r="B619" s="284"/>
      <c r="C619" s="7"/>
      <c r="D619" s="285"/>
      <c r="E619" s="286"/>
      <c r="F619" s="7"/>
      <c r="G619" s="7"/>
      <c r="H619" s="7"/>
      <c r="I619" s="287"/>
      <c r="J619" s="288"/>
      <c r="K619" s="288"/>
      <c r="L619" s="7"/>
      <c r="M619" s="28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</row>
    <row r="620" ht="18.75" customHeight="1">
      <c r="A620" s="7"/>
      <c r="B620" s="284"/>
      <c r="C620" s="7"/>
      <c r="D620" s="285"/>
      <c r="E620" s="286"/>
      <c r="F620" s="7"/>
      <c r="G620" s="7"/>
      <c r="H620" s="7"/>
      <c r="I620" s="287"/>
      <c r="J620" s="288"/>
      <c r="K620" s="288"/>
      <c r="L620" s="7"/>
      <c r="M620" s="28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</row>
    <row r="621" ht="18.75" customHeight="1">
      <c r="A621" s="7"/>
      <c r="B621" s="284"/>
      <c r="C621" s="7"/>
      <c r="D621" s="285"/>
      <c r="E621" s="286"/>
      <c r="F621" s="7"/>
      <c r="G621" s="7"/>
      <c r="H621" s="7"/>
      <c r="I621" s="287"/>
      <c r="J621" s="288"/>
      <c r="K621" s="288"/>
      <c r="L621" s="7"/>
      <c r="M621" s="28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</row>
    <row r="622" ht="18.75" customHeight="1">
      <c r="A622" s="7"/>
      <c r="B622" s="284"/>
      <c r="C622" s="7"/>
      <c r="D622" s="285"/>
      <c r="E622" s="286"/>
      <c r="F622" s="7"/>
      <c r="G622" s="7"/>
      <c r="H622" s="7"/>
      <c r="I622" s="287"/>
      <c r="J622" s="288"/>
      <c r="K622" s="288"/>
      <c r="L622" s="7"/>
      <c r="M622" s="28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</row>
    <row r="623" ht="18.75" customHeight="1">
      <c r="A623" s="7"/>
      <c r="B623" s="284"/>
      <c r="C623" s="7"/>
      <c r="D623" s="285"/>
      <c r="E623" s="286"/>
      <c r="F623" s="7"/>
      <c r="G623" s="7"/>
      <c r="H623" s="7"/>
      <c r="I623" s="287"/>
      <c r="J623" s="288"/>
      <c r="K623" s="288"/>
      <c r="L623" s="7"/>
      <c r="M623" s="28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</row>
    <row r="624" ht="18.75" customHeight="1">
      <c r="A624" s="7"/>
      <c r="B624" s="284"/>
      <c r="C624" s="7"/>
      <c r="D624" s="285"/>
      <c r="E624" s="286"/>
      <c r="F624" s="7"/>
      <c r="G624" s="7"/>
      <c r="H624" s="7"/>
      <c r="I624" s="287"/>
      <c r="J624" s="288"/>
      <c r="K624" s="288"/>
      <c r="L624" s="7"/>
      <c r="M624" s="28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</row>
    <row r="625" ht="18.75" customHeight="1">
      <c r="A625" s="7"/>
      <c r="B625" s="284"/>
      <c r="C625" s="7"/>
      <c r="D625" s="285"/>
      <c r="E625" s="286"/>
      <c r="F625" s="7"/>
      <c r="G625" s="7"/>
      <c r="H625" s="7"/>
      <c r="I625" s="287"/>
      <c r="J625" s="288"/>
      <c r="K625" s="288"/>
      <c r="L625" s="7"/>
      <c r="M625" s="28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</row>
    <row r="626" ht="18.75" customHeight="1">
      <c r="A626" s="7"/>
      <c r="B626" s="284"/>
      <c r="C626" s="7"/>
      <c r="D626" s="285"/>
      <c r="E626" s="286"/>
      <c r="F626" s="7"/>
      <c r="G626" s="7"/>
      <c r="H626" s="7"/>
      <c r="I626" s="287"/>
      <c r="J626" s="288"/>
      <c r="K626" s="288"/>
      <c r="L626" s="7"/>
      <c r="M626" s="28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</row>
    <row r="627" ht="18.75" customHeight="1">
      <c r="A627" s="7"/>
      <c r="B627" s="284"/>
      <c r="C627" s="7"/>
      <c r="D627" s="285"/>
      <c r="E627" s="286"/>
      <c r="F627" s="7"/>
      <c r="G627" s="7"/>
      <c r="H627" s="7"/>
      <c r="I627" s="287"/>
      <c r="J627" s="288"/>
      <c r="K627" s="288"/>
      <c r="L627" s="7"/>
      <c r="M627" s="28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</row>
    <row r="628" ht="18.75" customHeight="1">
      <c r="A628" s="7"/>
      <c r="B628" s="284"/>
      <c r="C628" s="7"/>
      <c r="D628" s="285"/>
      <c r="E628" s="286"/>
      <c r="F628" s="7"/>
      <c r="G628" s="7"/>
      <c r="H628" s="7"/>
      <c r="I628" s="287"/>
      <c r="J628" s="288"/>
      <c r="K628" s="288"/>
      <c r="L628" s="7"/>
      <c r="M628" s="28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</row>
    <row r="629" ht="18.75" customHeight="1">
      <c r="A629" s="7"/>
      <c r="B629" s="284"/>
      <c r="C629" s="7"/>
      <c r="D629" s="285"/>
      <c r="E629" s="286"/>
      <c r="F629" s="7"/>
      <c r="G629" s="7"/>
      <c r="H629" s="7"/>
      <c r="I629" s="287"/>
      <c r="J629" s="288"/>
      <c r="K629" s="288"/>
      <c r="L629" s="7"/>
      <c r="M629" s="28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</row>
    <row r="630" ht="18.75" customHeight="1">
      <c r="A630" s="7"/>
      <c r="B630" s="284"/>
      <c r="C630" s="7"/>
      <c r="D630" s="285"/>
      <c r="E630" s="286"/>
      <c r="F630" s="7"/>
      <c r="G630" s="7"/>
      <c r="H630" s="7"/>
      <c r="I630" s="287"/>
      <c r="J630" s="288"/>
      <c r="K630" s="288"/>
      <c r="L630" s="7"/>
      <c r="M630" s="28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</row>
    <row r="631" ht="18.75" customHeight="1">
      <c r="A631" s="7"/>
      <c r="B631" s="284"/>
      <c r="C631" s="7"/>
      <c r="D631" s="285"/>
      <c r="E631" s="286"/>
      <c r="F631" s="7"/>
      <c r="G631" s="7"/>
      <c r="H631" s="7"/>
      <c r="I631" s="287"/>
      <c r="J631" s="288"/>
      <c r="K631" s="288"/>
      <c r="L631" s="7"/>
      <c r="M631" s="28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</row>
    <row r="632" ht="18.75" customHeight="1">
      <c r="A632" s="7"/>
      <c r="B632" s="284"/>
      <c r="C632" s="7"/>
      <c r="D632" s="285"/>
      <c r="E632" s="286"/>
      <c r="F632" s="7"/>
      <c r="G632" s="7"/>
      <c r="H632" s="7"/>
      <c r="I632" s="287"/>
      <c r="J632" s="288"/>
      <c r="K632" s="288"/>
      <c r="L632" s="7"/>
      <c r="M632" s="28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</row>
    <row r="633" ht="18.75" customHeight="1">
      <c r="A633" s="7"/>
      <c r="B633" s="284"/>
      <c r="C633" s="7"/>
      <c r="D633" s="285"/>
      <c r="E633" s="286"/>
      <c r="F633" s="7"/>
      <c r="G633" s="7"/>
      <c r="H633" s="7"/>
      <c r="I633" s="287"/>
      <c r="J633" s="288"/>
      <c r="K633" s="288"/>
      <c r="L633" s="7"/>
      <c r="M633" s="28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</row>
    <row r="634" ht="18.75" customHeight="1">
      <c r="A634" s="7"/>
      <c r="B634" s="284"/>
      <c r="C634" s="7"/>
      <c r="D634" s="285"/>
      <c r="E634" s="286"/>
      <c r="F634" s="7"/>
      <c r="G634" s="7"/>
      <c r="H634" s="7"/>
      <c r="I634" s="287"/>
      <c r="J634" s="288"/>
      <c r="K634" s="288"/>
      <c r="L634" s="7"/>
      <c r="M634" s="28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</row>
    <row r="635" ht="18.75" customHeight="1">
      <c r="A635" s="7"/>
      <c r="B635" s="284"/>
      <c r="C635" s="7"/>
      <c r="D635" s="285"/>
      <c r="E635" s="286"/>
      <c r="F635" s="7"/>
      <c r="G635" s="7"/>
      <c r="H635" s="7"/>
      <c r="I635" s="287"/>
      <c r="J635" s="288"/>
      <c r="K635" s="288"/>
      <c r="L635" s="7"/>
      <c r="M635" s="28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</row>
    <row r="636" ht="18.75" customHeight="1">
      <c r="A636" s="7"/>
      <c r="B636" s="284"/>
      <c r="C636" s="7"/>
      <c r="D636" s="285"/>
      <c r="E636" s="286"/>
      <c r="F636" s="7"/>
      <c r="G636" s="7"/>
      <c r="H636" s="7"/>
      <c r="I636" s="287"/>
      <c r="J636" s="288"/>
      <c r="K636" s="288"/>
      <c r="L636" s="7"/>
      <c r="M636" s="28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</row>
    <row r="637" ht="18.75" customHeight="1">
      <c r="A637" s="7"/>
      <c r="B637" s="284"/>
      <c r="C637" s="7"/>
      <c r="D637" s="285"/>
      <c r="E637" s="286"/>
      <c r="F637" s="7"/>
      <c r="G637" s="7"/>
      <c r="H637" s="7"/>
      <c r="I637" s="287"/>
      <c r="J637" s="288"/>
      <c r="K637" s="288"/>
      <c r="L637" s="7"/>
      <c r="M637" s="28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</row>
    <row r="638" ht="18.75" customHeight="1">
      <c r="A638" s="7"/>
      <c r="B638" s="284"/>
      <c r="C638" s="7"/>
      <c r="D638" s="285"/>
      <c r="E638" s="286"/>
      <c r="F638" s="7"/>
      <c r="G638" s="7"/>
      <c r="H638" s="7"/>
      <c r="I638" s="287"/>
      <c r="J638" s="288"/>
      <c r="K638" s="288"/>
      <c r="L638" s="7"/>
      <c r="M638" s="28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</row>
    <row r="639" ht="18.75" customHeight="1">
      <c r="A639" s="7"/>
      <c r="B639" s="284"/>
      <c r="C639" s="7"/>
      <c r="D639" s="285"/>
      <c r="E639" s="286"/>
      <c r="F639" s="7"/>
      <c r="G639" s="7"/>
      <c r="H639" s="7"/>
      <c r="I639" s="287"/>
      <c r="J639" s="288"/>
      <c r="K639" s="288"/>
      <c r="L639" s="7"/>
      <c r="M639" s="28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</row>
    <row r="640" ht="18.75" customHeight="1">
      <c r="A640" s="7"/>
      <c r="B640" s="284"/>
      <c r="C640" s="7"/>
      <c r="D640" s="285"/>
      <c r="E640" s="286"/>
      <c r="F640" s="7"/>
      <c r="G640" s="7"/>
      <c r="H640" s="7"/>
      <c r="I640" s="287"/>
      <c r="J640" s="288"/>
      <c r="K640" s="288"/>
      <c r="L640" s="7"/>
      <c r="M640" s="28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</row>
    <row r="641" ht="18.75" customHeight="1">
      <c r="A641" s="7"/>
      <c r="B641" s="284"/>
      <c r="C641" s="7"/>
      <c r="D641" s="285"/>
      <c r="E641" s="286"/>
      <c r="F641" s="7"/>
      <c r="G641" s="7"/>
      <c r="H641" s="7"/>
      <c r="I641" s="287"/>
      <c r="J641" s="288"/>
      <c r="K641" s="288"/>
      <c r="L641" s="7"/>
      <c r="M641" s="28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</row>
    <row r="642" ht="18.75" customHeight="1">
      <c r="A642" s="7"/>
      <c r="B642" s="284"/>
      <c r="C642" s="7"/>
      <c r="D642" s="285"/>
      <c r="E642" s="286"/>
      <c r="F642" s="7"/>
      <c r="G642" s="7"/>
      <c r="H642" s="7"/>
      <c r="I642" s="287"/>
      <c r="J642" s="288"/>
      <c r="K642" s="288"/>
      <c r="L642" s="7"/>
      <c r="M642" s="28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</row>
    <row r="643" ht="18.75" customHeight="1">
      <c r="A643" s="7"/>
      <c r="B643" s="284"/>
      <c r="C643" s="7"/>
      <c r="D643" s="285"/>
      <c r="E643" s="286"/>
      <c r="F643" s="7"/>
      <c r="G643" s="7"/>
      <c r="H643" s="7"/>
      <c r="I643" s="287"/>
      <c r="J643" s="288"/>
      <c r="K643" s="288"/>
      <c r="L643" s="7"/>
      <c r="M643" s="28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</row>
    <row r="644" ht="18.75" customHeight="1">
      <c r="A644" s="7"/>
      <c r="B644" s="284"/>
      <c r="C644" s="7"/>
      <c r="D644" s="285"/>
      <c r="E644" s="286"/>
      <c r="F644" s="7"/>
      <c r="G644" s="7"/>
      <c r="H644" s="7"/>
      <c r="I644" s="287"/>
      <c r="J644" s="288"/>
      <c r="K644" s="288"/>
      <c r="L644" s="7"/>
      <c r="M644" s="28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</row>
    <row r="645" ht="18.75" customHeight="1">
      <c r="A645" s="7"/>
      <c r="B645" s="284"/>
      <c r="C645" s="7"/>
      <c r="D645" s="285"/>
      <c r="E645" s="286"/>
      <c r="F645" s="7"/>
      <c r="G645" s="7"/>
      <c r="H645" s="7"/>
      <c r="I645" s="287"/>
      <c r="J645" s="288"/>
      <c r="K645" s="288"/>
      <c r="L645" s="7"/>
      <c r="M645" s="28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</row>
    <row r="646" ht="18.75" customHeight="1">
      <c r="A646" s="7"/>
      <c r="B646" s="284"/>
      <c r="C646" s="7"/>
      <c r="D646" s="285"/>
      <c r="E646" s="286"/>
      <c r="F646" s="7"/>
      <c r="G646" s="7"/>
      <c r="H646" s="7"/>
      <c r="I646" s="287"/>
      <c r="J646" s="288"/>
      <c r="K646" s="288"/>
      <c r="L646" s="7"/>
      <c r="M646" s="28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</row>
    <row r="647" ht="18.75" customHeight="1">
      <c r="A647" s="7"/>
      <c r="B647" s="284"/>
      <c r="C647" s="7"/>
      <c r="D647" s="285"/>
      <c r="E647" s="286"/>
      <c r="F647" s="7"/>
      <c r="G647" s="7"/>
      <c r="H647" s="7"/>
      <c r="I647" s="287"/>
      <c r="J647" s="288"/>
      <c r="K647" s="288"/>
      <c r="L647" s="7"/>
      <c r="M647" s="28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</row>
    <row r="648" ht="18.75" customHeight="1">
      <c r="A648" s="7"/>
      <c r="B648" s="284"/>
      <c r="C648" s="7"/>
      <c r="D648" s="285"/>
      <c r="E648" s="286"/>
      <c r="F648" s="7"/>
      <c r="G648" s="7"/>
      <c r="H648" s="7"/>
      <c r="I648" s="287"/>
      <c r="J648" s="288"/>
      <c r="K648" s="288"/>
      <c r="L648" s="7"/>
      <c r="M648" s="28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</row>
    <row r="649" ht="18.75" customHeight="1">
      <c r="A649" s="7"/>
      <c r="B649" s="284"/>
      <c r="C649" s="7"/>
      <c r="D649" s="285"/>
      <c r="E649" s="286"/>
      <c r="F649" s="7"/>
      <c r="G649" s="7"/>
      <c r="H649" s="7"/>
      <c r="I649" s="287"/>
      <c r="J649" s="288"/>
      <c r="K649" s="288"/>
      <c r="L649" s="7"/>
      <c r="M649" s="28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</row>
    <row r="650" ht="18.75" customHeight="1">
      <c r="A650" s="7"/>
      <c r="B650" s="284"/>
      <c r="C650" s="7"/>
      <c r="D650" s="285"/>
      <c r="E650" s="286"/>
      <c r="F650" s="7"/>
      <c r="G650" s="7"/>
      <c r="H650" s="7"/>
      <c r="I650" s="287"/>
      <c r="J650" s="288"/>
      <c r="K650" s="288"/>
      <c r="L650" s="7"/>
      <c r="M650" s="28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</row>
    <row r="651" ht="18.75" customHeight="1">
      <c r="A651" s="7"/>
      <c r="B651" s="284"/>
      <c r="C651" s="7"/>
      <c r="D651" s="285"/>
      <c r="E651" s="286"/>
      <c r="F651" s="7"/>
      <c r="G651" s="7"/>
      <c r="H651" s="7"/>
      <c r="I651" s="287"/>
      <c r="J651" s="288"/>
      <c r="K651" s="288"/>
      <c r="L651" s="7"/>
      <c r="M651" s="28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</row>
    <row r="652" ht="18.75" customHeight="1">
      <c r="A652" s="7"/>
      <c r="B652" s="284"/>
      <c r="C652" s="7"/>
      <c r="D652" s="285"/>
      <c r="E652" s="286"/>
      <c r="F652" s="7"/>
      <c r="G652" s="7"/>
      <c r="H652" s="7"/>
      <c r="I652" s="287"/>
      <c r="J652" s="288"/>
      <c r="K652" s="288"/>
      <c r="L652" s="7"/>
      <c r="M652" s="28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</row>
    <row r="653" ht="18.75" customHeight="1">
      <c r="A653" s="7"/>
      <c r="B653" s="284"/>
      <c r="C653" s="7"/>
      <c r="D653" s="285"/>
      <c r="E653" s="286"/>
      <c r="F653" s="7"/>
      <c r="G653" s="7"/>
      <c r="H653" s="7"/>
      <c r="I653" s="287"/>
      <c r="J653" s="288"/>
      <c r="K653" s="288"/>
      <c r="L653" s="7"/>
      <c r="M653" s="28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</row>
    <row r="654" ht="18.75" customHeight="1">
      <c r="A654" s="7"/>
      <c r="B654" s="284"/>
      <c r="C654" s="7"/>
      <c r="D654" s="285"/>
      <c r="E654" s="286"/>
      <c r="F654" s="7"/>
      <c r="G654" s="7"/>
      <c r="H654" s="7"/>
      <c r="I654" s="287"/>
      <c r="J654" s="288"/>
      <c r="K654" s="288"/>
      <c r="L654" s="7"/>
      <c r="M654" s="28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</row>
    <row r="655" ht="18.75" customHeight="1">
      <c r="A655" s="7"/>
      <c r="B655" s="284"/>
      <c r="C655" s="7"/>
      <c r="D655" s="285"/>
      <c r="E655" s="286"/>
      <c r="F655" s="7"/>
      <c r="G655" s="7"/>
      <c r="H655" s="7"/>
      <c r="I655" s="287"/>
      <c r="J655" s="288"/>
      <c r="K655" s="288"/>
      <c r="L655" s="7"/>
      <c r="M655" s="28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</row>
    <row r="656" ht="18.75" customHeight="1">
      <c r="A656" s="7"/>
      <c r="B656" s="284"/>
      <c r="C656" s="7"/>
      <c r="D656" s="285"/>
      <c r="E656" s="286"/>
      <c r="F656" s="7"/>
      <c r="G656" s="7"/>
      <c r="H656" s="7"/>
      <c r="I656" s="287"/>
      <c r="J656" s="288"/>
      <c r="K656" s="288"/>
      <c r="L656" s="7"/>
      <c r="M656" s="28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</row>
    <row r="657" ht="18.75" customHeight="1">
      <c r="A657" s="7"/>
      <c r="B657" s="284"/>
      <c r="C657" s="7"/>
      <c r="D657" s="285"/>
      <c r="E657" s="286"/>
      <c r="F657" s="7"/>
      <c r="G657" s="7"/>
      <c r="H657" s="7"/>
      <c r="I657" s="287"/>
      <c r="J657" s="288"/>
      <c r="K657" s="288"/>
      <c r="L657" s="7"/>
      <c r="M657" s="28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</row>
    <row r="658" ht="18.75" customHeight="1">
      <c r="A658" s="7"/>
      <c r="B658" s="284"/>
      <c r="C658" s="7"/>
      <c r="D658" s="285"/>
      <c r="E658" s="286"/>
      <c r="F658" s="7"/>
      <c r="G658" s="7"/>
      <c r="H658" s="7"/>
      <c r="I658" s="287"/>
      <c r="J658" s="288"/>
      <c r="K658" s="288"/>
      <c r="L658" s="7"/>
      <c r="M658" s="28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</row>
    <row r="659" ht="18.75" customHeight="1">
      <c r="A659" s="7"/>
      <c r="B659" s="284"/>
      <c r="C659" s="7"/>
      <c r="D659" s="285"/>
      <c r="E659" s="286"/>
      <c r="F659" s="7"/>
      <c r="G659" s="7"/>
      <c r="H659" s="7"/>
      <c r="I659" s="287"/>
      <c r="J659" s="288"/>
      <c r="K659" s="288"/>
      <c r="L659" s="7"/>
      <c r="M659" s="28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</row>
    <row r="660" ht="18.75" customHeight="1">
      <c r="A660" s="7"/>
      <c r="B660" s="284"/>
      <c r="C660" s="7"/>
      <c r="D660" s="285"/>
      <c r="E660" s="286"/>
      <c r="F660" s="7"/>
      <c r="G660" s="7"/>
      <c r="H660" s="7"/>
      <c r="I660" s="287"/>
      <c r="J660" s="288"/>
      <c r="K660" s="288"/>
      <c r="L660" s="7"/>
      <c r="M660" s="28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</row>
    <row r="661" ht="18.75" customHeight="1">
      <c r="A661" s="7"/>
      <c r="B661" s="284"/>
      <c r="C661" s="7"/>
      <c r="D661" s="285"/>
      <c r="E661" s="286"/>
      <c r="F661" s="7"/>
      <c r="G661" s="7"/>
      <c r="H661" s="7"/>
      <c r="I661" s="287"/>
      <c r="J661" s="288"/>
      <c r="K661" s="288"/>
      <c r="L661" s="7"/>
      <c r="M661" s="28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</row>
    <row r="662" ht="18.75" customHeight="1">
      <c r="A662" s="7"/>
      <c r="B662" s="284"/>
      <c r="C662" s="7"/>
      <c r="D662" s="285"/>
      <c r="E662" s="286"/>
      <c r="F662" s="7"/>
      <c r="G662" s="7"/>
      <c r="H662" s="7"/>
      <c r="I662" s="287"/>
      <c r="J662" s="288"/>
      <c r="K662" s="288"/>
      <c r="L662" s="7"/>
      <c r="M662" s="28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</row>
    <row r="663" ht="18.75" customHeight="1">
      <c r="A663" s="7"/>
      <c r="B663" s="284"/>
      <c r="C663" s="7"/>
      <c r="D663" s="285"/>
      <c r="E663" s="286"/>
      <c r="F663" s="7"/>
      <c r="G663" s="7"/>
      <c r="H663" s="7"/>
      <c r="I663" s="287"/>
      <c r="J663" s="288"/>
      <c r="K663" s="288"/>
      <c r="L663" s="7"/>
      <c r="M663" s="28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</row>
    <row r="664" ht="18.75" customHeight="1">
      <c r="A664" s="7"/>
      <c r="B664" s="284"/>
      <c r="C664" s="7"/>
      <c r="D664" s="285"/>
      <c r="E664" s="286"/>
      <c r="F664" s="7"/>
      <c r="G664" s="7"/>
      <c r="H664" s="7"/>
      <c r="I664" s="287"/>
      <c r="J664" s="288"/>
      <c r="K664" s="288"/>
      <c r="L664" s="7"/>
      <c r="M664" s="28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</row>
    <row r="665" ht="18.75" customHeight="1">
      <c r="A665" s="7"/>
      <c r="B665" s="284"/>
      <c r="C665" s="7"/>
      <c r="D665" s="285"/>
      <c r="E665" s="286"/>
      <c r="F665" s="7"/>
      <c r="G665" s="7"/>
      <c r="H665" s="7"/>
      <c r="I665" s="287"/>
      <c r="J665" s="288"/>
      <c r="K665" s="288"/>
      <c r="L665" s="7"/>
      <c r="M665" s="28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</row>
    <row r="666" ht="18.75" customHeight="1">
      <c r="A666" s="7"/>
      <c r="B666" s="284"/>
      <c r="C666" s="7"/>
      <c r="D666" s="285"/>
      <c r="E666" s="286"/>
      <c r="F666" s="7"/>
      <c r="G666" s="7"/>
      <c r="H666" s="7"/>
      <c r="I666" s="287"/>
      <c r="J666" s="288"/>
      <c r="K666" s="288"/>
      <c r="L666" s="7"/>
      <c r="M666" s="28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</row>
    <row r="667" ht="18.75" customHeight="1">
      <c r="A667" s="7"/>
      <c r="B667" s="284"/>
      <c r="C667" s="7"/>
      <c r="D667" s="285"/>
      <c r="E667" s="286"/>
      <c r="F667" s="7"/>
      <c r="G667" s="7"/>
      <c r="H667" s="7"/>
      <c r="I667" s="287"/>
      <c r="J667" s="288"/>
      <c r="K667" s="288"/>
      <c r="L667" s="7"/>
      <c r="M667" s="28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</row>
    <row r="668" ht="18.75" customHeight="1">
      <c r="A668" s="7"/>
      <c r="B668" s="284"/>
      <c r="C668" s="7"/>
      <c r="D668" s="285"/>
      <c r="E668" s="286"/>
      <c r="F668" s="7"/>
      <c r="G668" s="7"/>
      <c r="H668" s="7"/>
      <c r="I668" s="287"/>
      <c r="J668" s="288"/>
      <c r="K668" s="288"/>
      <c r="L668" s="7"/>
      <c r="M668" s="28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</row>
    <row r="669" ht="18.75" customHeight="1">
      <c r="A669" s="7"/>
      <c r="B669" s="284"/>
      <c r="C669" s="7"/>
      <c r="D669" s="285"/>
      <c r="E669" s="286"/>
      <c r="F669" s="7"/>
      <c r="G669" s="7"/>
      <c r="H669" s="7"/>
      <c r="I669" s="287"/>
      <c r="J669" s="288"/>
      <c r="K669" s="288"/>
      <c r="L669" s="7"/>
      <c r="M669" s="28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</row>
    <row r="670" ht="18.75" customHeight="1">
      <c r="A670" s="7"/>
      <c r="B670" s="284"/>
      <c r="C670" s="7"/>
      <c r="D670" s="285"/>
      <c r="E670" s="286"/>
      <c r="F670" s="7"/>
      <c r="G670" s="7"/>
      <c r="H670" s="7"/>
      <c r="I670" s="287"/>
      <c r="J670" s="288"/>
      <c r="K670" s="288"/>
      <c r="L670" s="7"/>
      <c r="M670" s="28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</row>
    <row r="671" ht="18.75" customHeight="1">
      <c r="A671" s="7"/>
      <c r="B671" s="284"/>
      <c r="C671" s="7"/>
      <c r="D671" s="285"/>
      <c r="E671" s="286"/>
      <c r="F671" s="7"/>
      <c r="G671" s="7"/>
      <c r="H671" s="7"/>
      <c r="I671" s="287"/>
      <c r="J671" s="288"/>
      <c r="K671" s="288"/>
      <c r="L671" s="7"/>
      <c r="M671" s="28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</row>
    <row r="672" ht="18.75" customHeight="1">
      <c r="A672" s="7"/>
      <c r="B672" s="284"/>
      <c r="C672" s="7"/>
      <c r="D672" s="285"/>
      <c r="E672" s="286"/>
      <c r="F672" s="7"/>
      <c r="G672" s="7"/>
      <c r="H672" s="7"/>
      <c r="I672" s="287"/>
      <c r="J672" s="288"/>
      <c r="K672" s="288"/>
      <c r="L672" s="7"/>
      <c r="M672" s="28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</row>
    <row r="673" ht="18.75" customHeight="1">
      <c r="A673" s="7"/>
      <c r="B673" s="284"/>
      <c r="C673" s="7"/>
      <c r="D673" s="285"/>
      <c r="E673" s="286"/>
      <c r="F673" s="7"/>
      <c r="G673" s="7"/>
      <c r="H673" s="7"/>
      <c r="I673" s="287"/>
      <c r="J673" s="288"/>
      <c r="K673" s="288"/>
      <c r="L673" s="7"/>
      <c r="M673" s="28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</row>
    <row r="674" ht="18.75" customHeight="1">
      <c r="A674" s="7"/>
      <c r="B674" s="284"/>
      <c r="C674" s="7"/>
      <c r="D674" s="285"/>
      <c r="E674" s="286"/>
      <c r="F674" s="7"/>
      <c r="G674" s="7"/>
      <c r="H674" s="7"/>
      <c r="I674" s="287"/>
      <c r="J674" s="288"/>
      <c r="K674" s="288"/>
      <c r="L674" s="7"/>
      <c r="M674" s="28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</row>
    <row r="675" ht="18.75" customHeight="1">
      <c r="A675" s="7"/>
      <c r="B675" s="284"/>
      <c r="C675" s="7"/>
      <c r="D675" s="285"/>
      <c r="E675" s="286"/>
      <c r="F675" s="7"/>
      <c r="G675" s="7"/>
      <c r="H675" s="7"/>
      <c r="I675" s="287"/>
      <c r="J675" s="288"/>
      <c r="K675" s="288"/>
      <c r="L675" s="7"/>
      <c r="M675" s="28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</row>
    <row r="676" ht="18.75" customHeight="1">
      <c r="A676" s="7"/>
      <c r="B676" s="284"/>
      <c r="C676" s="7"/>
      <c r="D676" s="285"/>
      <c r="E676" s="286"/>
      <c r="F676" s="7"/>
      <c r="G676" s="7"/>
      <c r="H676" s="7"/>
      <c r="I676" s="287"/>
      <c r="J676" s="288"/>
      <c r="K676" s="288"/>
      <c r="L676" s="7"/>
      <c r="M676" s="28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</row>
    <row r="677" ht="18.75" customHeight="1">
      <c r="A677" s="7"/>
      <c r="B677" s="284"/>
      <c r="C677" s="7"/>
      <c r="D677" s="285"/>
      <c r="E677" s="286"/>
      <c r="F677" s="7"/>
      <c r="G677" s="7"/>
      <c r="H677" s="7"/>
      <c r="I677" s="287"/>
      <c r="J677" s="288"/>
      <c r="K677" s="288"/>
      <c r="L677" s="7"/>
      <c r="M677" s="28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</row>
    <row r="678" ht="18.75" customHeight="1">
      <c r="A678" s="7"/>
      <c r="B678" s="284"/>
      <c r="C678" s="7"/>
      <c r="D678" s="285"/>
      <c r="E678" s="286"/>
      <c r="F678" s="7"/>
      <c r="G678" s="7"/>
      <c r="H678" s="7"/>
      <c r="I678" s="287"/>
      <c r="J678" s="288"/>
      <c r="K678" s="288"/>
      <c r="L678" s="7"/>
      <c r="M678" s="28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</row>
    <row r="679" ht="18.75" customHeight="1">
      <c r="A679" s="7"/>
      <c r="B679" s="284"/>
      <c r="C679" s="7"/>
      <c r="D679" s="285"/>
      <c r="E679" s="286"/>
      <c r="F679" s="7"/>
      <c r="G679" s="7"/>
      <c r="H679" s="7"/>
      <c r="I679" s="287"/>
      <c r="J679" s="288"/>
      <c r="K679" s="288"/>
      <c r="L679" s="7"/>
      <c r="M679" s="28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</row>
    <row r="680" ht="18.75" customHeight="1">
      <c r="A680" s="7"/>
      <c r="B680" s="284"/>
      <c r="C680" s="7"/>
      <c r="D680" s="285"/>
      <c r="E680" s="286"/>
      <c r="F680" s="7"/>
      <c r="G680" s="7"/>
      <c r="H680" s="7"/>
      <c r="I680" s="287"/>
      <c r="J680" s="288"/>
      <c r="K680" s="288"/>
      <c r="L680" s="7"/>
      <c r="M680" s="28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</row>
    <row r="681" ht="18.75" customHeight="1">
      <c r="A681" s="7"/>
      <c r="B681" s="284"/>
      <c r="C681" s="7"/>
      <c r="D681" s="285"/>
      <c r="E681" s="286"/>
      <c r="F681" s="7"/>
      <c r="G681" s="7"/>
      <c r="H681" s="7"/>
      <c r="I681" s="287"/>
      <c r="J681" s="288"/>
      <c r="K681" s="288"/>
      <c r="L681" s="7"/>
      <c r="M681" s="28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</row>
    <row r="682" ht="18.75" customHeight="1">
      <c r="A682" s="7"/>
      <c r="B682" s="284"/>
      <c r="C682" s="7"/>
      <c r="D682" s="285"/>
      <c r="E682" s="286"/>
      <c r="F682" s="7"/>
      <c r="G682" s="7"/>
      <c r="H682" s="7"/>
      <c r="I682" s="287"/>
      <c r="J682" s="288"/>
      <c r="K682" s="288"/>
      <c r="L682" s="7"/>
      <c r="M682" s="28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</row>
    <row r="683" ht="18.75" customHeight="1">
      <c r="A683" s="7"/>
      <c r="B683" s="284"/>
      <c r="C683" s="7"/>
      <c r="D683" s="285"/>
      <c r="E683" s="286"/>
      <c r="F683" s="7"/>
      <c r="G683" s="7"/>
      <c r="H683" s="7"/>
      <c r="I683" s="287"/>
      <c r="J683" s="288"/>
      <c r="K683" s="288"/>
      <c r="L683" s="7"/>
      <c r="M683" s="28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</row>
    <row r="684" ht="18.75" customHeight="1">
      <c r="A684" s="7"/>
      <c r="B684" s="284"/>
      <c r="C684" s="7"/>
      <c r="D684" s="285"/>
      <c r="E684" s="286"/>
      <c r="F684" s="7"/>
      <c r="G684" s="7"/>
      <c r="H684" s="7"/>
      <c r="I684" s="287"/>
      <c r="J684" s="288"/>
      <c r="K684" s="288"/>
      <c r="L684" s="7"/>
      <c r="M684" s="28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</row>
    <row r="685" ht="18.75" customHeight="1">
      <c r="A685" s="7"/>
      <c r="B685" s="284"/>
      <c r="C685" s="7"/>
      <c r="D685" s="285"/>
      <c r="E685" s="286"/>
      <c r="F685" s="7"/>
      <c r="G685" s="7"/>
      <c r="H685" s="7"/>
      <c r="I685" s="287"/>
      <c r="J685" s="288"/>
      <c r="K685" s="288"/>
      <c r="L685" s="7"/>
      <c r="M685" s="28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</row>
    <row r="686" ht="18.75" customHeight="1">
      <c r="A686" s="7"/>
      <c r="B686" s="284"/>
      <c r="C686" s="7"/>
      <c r="D686" s="285"/>
      <c r="E686" s="286"/>
      <c r="F686" s="7"/>
      <c r="G686" s="7"/>
      <c r="H686" s="7"/>
      <c r="I686" s="287"/>
      <c r="J686" s="288"/>
      <c r="K686" s="288"/>
      <c r="L686" s="7"/>
      <c r="M686" s="28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</row>
    <row r="687" ht="18.75" customHeight="1">
      <c r="A687" s="7"/>
      <c r="B687" s="284"/>
      <c r="C687" s="7"/>
      <c r="D687" s="285"/>
      <c r="E687" s="286"/>
      <c r="F687" s="7"/>
      <c r="G687" s="7"/>
      <c r="H687" s="7"/>
      <c r="I687" s="287"/>
      <c r="J687" s="288"/>
      <c r="K687" s="288"/>
      <c r="L687" s="7"/>
      <c r="M687" s="28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</row>
    <row r="688" ht="18.75" customHeight="1">
      <c r="A688" s="7"/>
      <c r="B688" s="284"/>
      <c r="C688" s="7"/>
      <c r="D688" s="285"/>
      <c r="E688" s="286"/>
      <c r="F688" s="7"/>
      <c r="G688" s="7"/>
      <c r="H688" s="7"/>
      <c r="I688" s="287"/>
      <c r="J688" s="288"/>
      <c r="K688" s="288"/>
      <c r="L688" s="7"/>
      <c r="M688" s="28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</row>
    <row r="689" ht="18.75" customHeight="1">
      <c r="A689" s="7"/>
      <c r="B689" s="284"/>
      <c r="C689" s="7"/>
      <c r="D689" s="285"/>
      <c r="E689" s="286"/>
      <c r="F689" s="7"/>
      <c r="G689" s="7"/>
      <c r="H689" s="7"/>
      <c r="I689" s="287"/>
      <c r="J689" s="288"/>
      <c r="K689" s="288"/>
      <c r="L689" s="7"/>
      <c r="M689" s="28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</row>
    <row r="690" ht="18.75" customHeight="1">
      <c r="A690" s="7"/>
      <c r="B690" s="284"/>
      <c r="C690" s="7"/>
      <c r="D690" s="285"/>
      <c r="E690" s="286"/>
      <c r="F690" s="7"/>
      <c r="G690" s="7"/>
      <c r="H690" s="7"/>
      <c r="I690" s="287"/>
      <c r="J690" s="288"/>
      <c r="K690" s="288"/>
      <c r="L690" s="7"/>
      <c r="M690" s="28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</row>
    <row r="691" ht="18.75" customHeight="1">
      <c r="A691" s="7"/>
      <c r="B691" s="284"/>
      <c r="C691" s="7"/>
      <c r="D691" s="285"/>
      <c r="E691" s="286"/>
      <c r="F691" s="7"/>
      <c r="G691" s="7"/>
      <c r="H691" s="7"/>
      <c r="I691" s="287"/>
      <c r="J691" s="288"/>
      <c r="K691" s="288"/>
      <c r="L691" s="7"/>
      <c r="M691" s="28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</row>
    <row r="692" ht="18.75" customHeight="1">
      <c r="A692" s="7"/>
      <c r="B692" s="284"/>
      <c r="C692" s="7"/>
      <c r="D692" s="285"/>
      <c r="E692" s="286"/>
      <c r="F692" s="7"/>
      <c r="G692" s="7"/>
      <c r="H692" s="7"/>
      <c r="I692" s="287"/>
      <c r="J692" s="288"/>
      <c r="K692" s="288"/>
      <c r="L692" s="7"/>
      <c r="M692" s="28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</row>
    <row r="693" ht="18.75" customHeight="1">
      <c r="A693" s="7"/>
      <c r="B693" s="284"/>
      <c r="C693" s="7"/>
      <c r="D693" s="285"/>
      <c r="E693" s="286"/>
      <c r="F693" s="7"/>
      <c r="G693" s="7"/>
      <c r="H693" s="7"/>
      <c r="I693" s="287"/>
      <c r="J693" s="288"/>
      <c r="K693" s="288"/>
      <c r="L693" s="7"/>
      <c r="M693" s="28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</row>
    <row r="694" ht="18.75" customHeight="1">
      <c r="A694" s="7"/>
      <c r="B694" s="284"/>
      <c r="C694" s="7"/>
      <c r="D694" s="285"/>
      <c r="E694" s="286"/>
      <c r="F694" s="7"/>
      <c r="G694" s="7"/>
      <c r="H694" s="7"/>
      <c r="I694" s="287"/>
      <c r="J694" s="288"/>
      <c r="K694" s="288"/>
      <c r="L694" s="7"/>
      <c r="M694" s="28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</row>
    <row r="695" ht="18.75" customHeight="1">
      <c r="A695" s="7"/>
      <c r="B695" s="284"/>
      <c r="C695" s="7"/>
      <c r="D695" s="285"/>
      <c r="E695" s="286"/>
      <c r="F695" s="7"/>
      <c r="G695" s="7"/>
      <c r="H695" s="7"/>
      <c r="I695" s="287"/>
      <c r="J695" s="288"/>
      <c r="K695" s="288"/>
      <c r="L695" s="7"/>
      <c r="M695" s="28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</row>
    <row r="696" ht="18.75" customHeight="1">
      <c r="A696" s="7"/>
      <c r="B696" s="284"/>
      <c r="C696" s="7"/>
      <c r="D696" s="285"/>
      <c r="E696" s="286"/>
      <c r="F696" s="7"/>
      <c r="G696" s="7"/>
      <c r="H696" s="7"/>
      <c r="I696" s="287"/>
      <c r="J696" s="288"/>
      <c r="K696" s="288"/>
      <c r="L696" s="7"/>
      <c r="M696" s="28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</row>
    <row r="697" ht="18.75" customHeight="1">
      <c r="A697" s="7"/>
      <c r="B697" s="284"/>
      <c r="C697" s="7"/>
      <c r="D697" s="285"/>
      <c r="E697" s="286"/>
      <c r="F697" s="7"/>
      <c r="G697" s="7"/>
      <c r="H697" s="7"/>
      <c r="I697" s="287"/>
      <c r="J697" s="288"/>
      <c r="K697" s="288"/>
      <c r="L697" s="7"/>
      <c r="M697" s="28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</row>
    <row r="698" ht="18.75" customHeight="1">
      <c r="A698" s="7"/>
      <c r="B698" s="284"/>
      <c r="C698" s="7"/>
      <c r="D698" s="285"/>
      <c r="E698" s="286"/>
      <c r="F698" s="7"/>
      <c r="G698" s="7"/>
      <c r="H698" s="7"/>
      <c r="I698" s="287"/>
      <c r="J698" s="288"/>
      <c r="K698" s="288"/>
      <c r="L698" s="7"/>
      <c r="M698" s="28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</row>
    <row r="699" ht="18.75" customHeight="1">
      <c r="A699" s="7"/>
      <c r="B699" s="284"/>
      <c r="C699" s="7"/>
      <c r="D699" s="285"/>
      <c r="E699" s="286"/>
      <c r="F699" s="7"/>
      <c r="G699" s="7"/>
      <c r="H699" s="7"/>
      <c r="I699" s="287"/>
      <c r="J699" s="288"/>
      <c r="K699" s="288"/>
      <c r="L699" s="7"/>
      <c r="M699" s="28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</row>
    <row r="700" ht="18.75" customHeight="1">
      <c r="A700" s="7"/>
      <c r="B700" s="284"/>
      <c r="C700" s="7"/>
      <c r="D700" s="285"/>
      <c r="E700" s="286"/>
      <c r="F700" s="7"/>
      <c r="G700" s="7"/>
      <c r="H700" s="7"/>
      <c r="I700" s="287"/>
      <c r="J700" s="288"/>
      <c r="K700" s="288"/>
      <c r="L700" s="7"/>
      <c r="M700" s="28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</row>
    <row r="701" ht="18.75" customHeight="1">
      <c r="A701" s="7"/>
      <c r="B701" s="284"/>
      <c r="C701" s="7"/>
      <c r="D701" s="285"/>
      <c r="E701" s="286"/>
      <c r="F701" s="7"/>
      <c r="G701" s="7"/>
      <c r="H701" s="7"/>
      <c r="I701" s="287"/>
      <c r="J701" s="288"/>
      <c r="K701" s="288"/>
      <c r="L701" s="7"/>
      <c r="M701" s="28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</row>
    <row r="702" ht="18.75" customHeight="1">
      <c r="A702" s="7"/>
      <c r="B702" s="284"/>
      <c r="C702" s="7"/>
      <c r="D702" s="285"/>
      <c r="E702" s="286"/>
      <c r="F702" s="7"/>
      <c r="G702" s="7"/>
      <c r="H702" s="7"/>
      <c r="I702" s="287"/>
      <c r="J702" s="288"/>
      <c r="K702" s="288"/>
      <c r="L702" s="7"/>
      <c r="M702" s="28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</row>
    <row r="703" ht="18.75" customHeight="1">
      <c r="A703" s="7"/>
      <c r="B703" s="284"/>
      <c r="C703" s="7"/>
      <c r="D703" s="285"/>
      <c r="E703" s="286"/>
      <c r="F703" s="7"/>
      <c r="G703" s="7"/>
      <c r="H703" s="7"/>
      <c r="I703" s="287"/>
      <c r="J703" s="288"/>
      <c r="K703" s="288"/>
      <c r="L703" s="7"/>
      <c r="M703" s="28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</row>
    <row r="704" ht="18.75" customHeight="1">
      <c r="A704" s="7"/>
      <c r="B704" s="284"/>
      <c r="C704" s="7"/>
      <c r="D704" s="285"/>
      <c r="E704" s="286"/>
      <c r="F704" s="7"/>
      <c r="G704" s="7"/>
      <c r="H704" s="7"/>
      <c r="I704" s="287"/>
      <c r="J704" s="288"/>
      <c r="K704" s="288"/>
      <c r="L704" s="7"/>
      <c r="M704" s="28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</row>
    <row r="705" ht="18.75" customHeight="1">
      <c r="A705" s="7"/>
      <c r="B705" s="284"/>
      <c r="C705" s="7"/>
      <c r="D705" s="285"/>
      <c r="E705" s="286"/>
      <c r="F705" s="7"/>
      <c r="G705" s="7"/>
      <c r="H705" s="7"/>
      <c r="I705" s="287"/>
      <c r="J705" s="288"/>
      <c r="K705" s="288"/>
      <c r="L705" s="7"/>
      <c r="M705" s="28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</row>
    <row r="706" ht="18.75" customHeight="1">
      <c r="A706" s="7"/>
      <c r="B706" s="284"/>
      <c r="C706" s="7"/>
      <c r="D706" s="285"/>
      <c r="E706" s="286"/>
      <c r="F706" s="7"/>
      <c r="G706" s="7"/>
      <c r="H706" s="7"/>
      <c r="I706" s="287"/>
      <c r="J706" s="288"/>
      <c r="K706" s="288"/>
      <c r="L706" s="7"/>
      <c r="M706" s="28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</row>
    <row r="707" ht="18.75" customHeight="1">
      <c r="A707" s="7"/>
      <c r="B707" s="284"/>
      <c r="C707" s="7"/>
      <c r="D707" s="285"/>
      <c r="E707" s="286"/>
      <c r="F707" s="7"/>
      <c r="G707" s="7"/>
      <c r="H707" s="7"/>
      <c r="I707" s="287"/>
      <c r="J707" s="288"/>
      <c r="K707" s="288"/>
      <c r="L707" s="7"/>
      <c r="M707" s="28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</row>
    <row r="708" ht="18.75" customHeight="1">
      <c r="A708" s="7"/>
      <c r="B708" s="284"/>
      <c r="C708" s="7"/>
      <c r="D708" s="285"/>
      <c r="E708" s="286"/>
      <c r="F708" s="7"/>
      <c r="G708" s="7"/>
      <c r="H708" s="7"/>
      <c r="I708" s="287"/>
      <c r="J708" s="288"/>
      <c r="K708" s="288"/>
      <c r="L708" s="7"/>
      <c r="M708" s="28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</row>
    <row r="709" ht="18.75" customHeight="1">
      <c r="A709" s="7"/>
      <c r="B709" s="284"/>
      <c r="C709" s="7"/>
      <c r="D709" s="285"/>
      <c r="E709" s="286"/>
      <c r="F709" s="7"/>
      <c r="G709" s="7"/>
      <c r="H709" s="7"/>
      <c r="I709" s="287"/>
      <c r="J709" s="288"/>
      <c r="K709" s="288"/>
      <c r="L709" s="7"/>
      <c r="M709" s="28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</row>
    <row r="710" ht="18.75" customHeight="1">
      <c r="A710" s="7"/>
      <c r="B710" s="284"/>
      <c r="C710" s="7"/>
      <c r="D710" s="285"/>
      <c r="E710" s="286"/>
      <c r="F710" s="7"/>
      <c r="G710" s="7"/>
      <c r="H710" s="7"/>
      <c r="I710" s="287"/>
      <c r="J710" s="288"/>
      <c r="K710" s="288"/>
      <c r="L710" s="7"/>
      <c r="M710" s="28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</row>
    <row r="711" ht="18.75" customHeight="1">
      <c r="A711" s="7"/>
      <c r="B711" s="284"/>
      <c r="C711" s="7"/>
      <c r="D711" s="285"/>
      <c r="E711" s="286"/>
      <c r="F711" s="7"/>
      <c r="G711" s="7"/>
      <c r="H711" s="7"/>
      <c r="I711" s="287"/>
      <c r="J711" s="288"/>
      <c r="K711" s="288"/>
      <c r="L711" s="7"/>
      <c r="M711" s="28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</row>
    <row r="712" ht="18.75" customHeight="1">
      <c r="A712" s="7"/>
      <c r="B712" s="284"/>
      <c r="C712" s="7"/>
      <c r="D712" s="285"/>
      <c r="E712" s="286"/>
      <c r="F712" s="7"/>
      <c r="G712" s="7"/>
      <c r="H712" s="7"/>
      <c r="I712" s="287"/>
      <c r="J712" s="288"/>
      <c r="K712" s="288"/>
      <c r="L712" s="7"/>
      <c r="M712" s="28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</row>
    <row r="713" ht="18.75" customHeight="1">
      <c r="A713" s="7"/>
      <c r="B713" s="284"/>
      <c r="C713" s="7"/>
      <c r="D713" s="285"/>
      <c r="E713" s="286"/>
      <c r="F713" s="7"/>
      <c r="G713" s="7"/>
      <c r="H713" s="7"/>
      <c r="I713" s="287"/>
      <c r="J713" s="288"/>
      <c r="K713" s="288"/>
      <c r="L713" s="7"/>
      <c r="M713" s="28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</row>
    <row r="714" ht="18.75" customHeight="1">
      <c r="A714" s="7"/>
      <c r="B714" s="284"/>
      <c r="C714" s="7"/>
      <c r="D714" s="285"/>
      <c r="E714" s="286"/>
      <c r="F714" s="7"/>
      <c r="G714" s="7"/>
      <c r="H714" s="7"/>
      <c r="I714" s="287"/>
      <c r="J714" s="288"/>
      <c r="K714" s="288"/>
      <c r="L714" s="7"/>
      <c r="M714" s="28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</row>
    <row r="715" ht="18.75" customHeight="1">
      <c r="A715" s="7"/>
      <c r="B715" s="284"/>
      <c r="C715" s="7"/>
      <c r="D715" s="285"/>
      <c r="E715" s="286"/>
      <c r="F715" s="7"/>
      <c r="G715" s="7"/>
      <c r="H715" s="7"/>
      <c r="I715" s="287"/>
      <c r="J715" s="288"/>
      <c r="K715" s="288"/>
      <c r="L715" s="7"/>
      <c r="M715" s="28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</row>
    <row r="716" ht="18.75" customHeight="1">
      <c r="A716" s="7"/>
      <c r="B716" s="284"/>
      <c r="C716" s="7"/>
      <c r="D716" s="285"/>
      <c r="E716" s="286"/>
      <c r="F716" s="7"/>
      <c r="G716" s="7"/>
      <c r="H716" s="7"/>
      <c r="I716" s="287"/>
      <c r="J716" s="288"/>
      <c r="K716" s="288"/>
      <c r="L716" s="7"/>
      <c r="M716" s="28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</row>
    <row r="717" ht="18.75" customHeight="1">
      <c r="A717" s="7"/>
      <c r="B717" s="284"/>
      <c r="C717" s="7"/>
      <c r="D717" s="285"/>
      <c r="E717" s="286"/>
      <c r="F717" s="7"/>
      <c r="G717" s="7"/>
      <c r="H717" s="7"/>
      <c r="I717" s="287"/>
      <c r="J717" s="288"/>
      <c r="K717" s="288"/>
      <c r="L717" s="7"/>
      <c r="M717" s="28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</row>
    <row r="718" ht="18.75" customHeight="1">
      <c r="A718" s="7"/>
      <c r="B718" s="284"/>
      <c r="C718" s="7"/>
      <c r="D718" s="285"/>
      <c r="E718" s="286"/>
      <c r="F718" s="7"/>
      <c r="G718" s="7"/>
      <c r="H718" s="7"/>
      <c r="I718" s="287"/>
      <c r="J718" s="288"/>
      <c r="K718" s="288"/>
      <c r="L718" s="7"/>
      <c r="M718" s="28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</row>
    <row r="719" ht="18.75" customHeight="1">
      <c r="A719" s="7"/>
      <c r="B719" s="284"/>
      <c r="C719" s="7"/>
      <c r="D719" s="285"/>
      <c r="E719" s="286"/>
      <c r="F719" s="7"/>
      <c r="G719" s="7"/>
      <c r="H719" s="7"/>
      <c r="I719" s="287"/>
      <c r="J719" s="288"/>
      <c r="K719" s="288"/>
      <c r="L719" s="7"/>
      <c r="M719" s="28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</row>
    <row r="720" ht="18.75" customHeight="1">
      <c r="A720" s="7"/>
      <c r="B720" s="284"/>
      <c r="C720" s="7"/>
      <c r="D720" s="285"/>
      <c r="E720" s="286"/>
      <c r="F720" s="7"/>
      <c r="G720" s="7"/>
      <c r="H720" s="7"/>
      <c r="I720" s="287"/>
      <c r="J720" s="288"/>
      <c r="K720" s="288"/>
      <c r="L720" s="7"/>
      <c r="M720" s="28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</row>
    <row r="721" ht="18.75" customHeight="1">
      <c r="A721" s="7"/>
      <c r="B721" s="284"/>
      <c r="C721" s="7"/>
      <c r="D721" s="285"/>
      <c r="E721" s="286"/>
      <c r="F721" s="7"/>
      <c r="G721" s="7"/>
      <c r="H721" s="7"/>
      <c r="I721" s="287"/>
      <c r="J721" s="288"/>
      <c r="K721" s="288"/>
      <c r="L721" s="7"/>
      <c r="M721" s="28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</row>
    <row r="722" ht="18.75" customHeight="1">
      <c r="A722" s="7"/>
      <c r="B722" s="284"/>
      <c r="C722" s="7"/>
      <c r="D722" s="285"/>
      <c r="E722" s="286"/>
      <c r="F722" s="7"/>
      <c r="G722" s="7"/>
      <c r="H722" s="7"/>
      <c r="I722" s="287"/>
      <c r="J722" s="288"/>
      <c r="K722" s="288"/>
      <c r="L722" s="7"/>
      <c r="M722" s="28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</row>
    <row r="723" ht="18.75" customHeight="1">
      <c r="A723" s="7"/>
      <c r="B723" s="284"/>
      <c r="C723" s="7"/>
      <c r="D723" s="285"/>
      <c r="E723" s="286"/>
      <c r="F723" s="7"/>
      <c r="G723" s="7"/>
      <c r="H723" s="7"/>
      <c r="I723" s="287"/>
      <c r="J723" s="288"/>
      <c r="K723" s="288"/>
      <c r="L723" s="7"/>
      <c r="M723" s="28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</row>
    <row r="724" ht="18.75" customHeight="1">
      <c r="A724" s="7"/>
      <c r="B724" s="284"/>
      <c r="C724" s="7"/>
      <c r="D724" s="285"/>
      <c r="E724" s="286"/>
      <c r="F724" s="7"/>
      <c r="G724" s="7"/>
      <c r="H724" s="7"/>
      <c r="I724" s="287"/>
      <c r="J724" s="288"/>
      <c r="K724" s="288"/>
      <c r="L724" s="7"/>
      <c r="M724" s="28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</row>
    <row r="725" ht="18.75" customHeight="1">
      <c r="A725" s="7"/>
      <c r="B725" s="284"/>
      <c r="C725" s="7"/>
      <c r="D725" s="285"/>
      <c r="E725" s="286"/>
      <c r="F725" s="7"/>
      <c r="G725" s="7"/>
      <c r="H725" s="7"/>
      <c r="I725" s="287"/>
      <c r="J725" s="288"/>
      <c r="K725" s="288"/>
      <c r="L725" s="7"/>
      <c r="M725" s="28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</row>
    <row r="726" ht="18.75" customHeight="1">
      <c r="A726" s="7"/>
      <c r="B726" s="284"/>
      <c r="C726" s="7"/>
      <c r="D726" s="285"/>
      <c r="E726" s="286"/>
      <c r="F726" s="7"/>
      <c r="G726" s="7"/>
      <c r="H726" s="7"/>
      <c r="I726" s="287"/>
      <c r="J726" s="288"/>
      <c r="K726" s="288"/>
      <c r="L726" s="7"/>
      <c r="M726" s="28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</row>
    <row r="727" ht="18.75" customHeight="1">
      <c r="A727" s="7"/>
      <c r="B727" s="284"/>
      <c r="C727" s="7"/>
      <c r="D727" s="285"/>
      <c r="E727" s="286"/>
      <c r="F727" s="7"/>
      <c r="G727" s="7"/>
      <c r="H727" s="7"/>
      <c r="I727" s="287"/>
      <c r="J727" s="288"/>
      <c r="K727" s="288"/>
      <c r="L727" s="7"/>
      <c r="M727" s="28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</row>
    <row r="728" ht="18.75" customHeight="1">
      <c r="A728" s="7"/>
      <c r="B728" s="284"/>
      <c r="C728" s="7"/>
      <c r="D728" s="285"/>
      <c r="E728" s="286"/>
      <c r="F728" s="7"/>
      <c r="G728" s="7"/>
      <c r="H728" s="7"/>
      <c r="I728" s="287"/>
      <c r="J728" s="288"/>
      <c r="K728" s="288"/>
      <c r="L728" s="7"/>
      <c r="M728" s="28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</row>
    <row r="729" ht="18.75" customHeight="1">
      <c r="A729" s="7"/>
      <c r="B729" s="284"/>
      <c r="C729" s="7"/>
      <c r="D729" s="285"/>
      <c r="E729" s="286"/>
      <c r="F729" s="7"/>
      <c r="G729" s="7"/>
      <c r="H729" s="7"/>
      <c r="I729" s="287"/>
      <c r="J729" s="288"/>
      <c r="K729" s="288"/>
      <c r="L729" s="7"/>
      <c r="M729" s="28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</row>
    <row r="730" ht="18.75" customHeight="1">
      <c r="A730" s="7"/>
      <c r="B730" s="284"/>
      <c r="C730" s="7"/>
      <c r="D730" s="285"/>
      <c r="E730" s="286"/>
      <c r="F730" s="7"/>
      <c r="G730" s="7"/>
      <c r="H730" s="7"/>
      <c r="I730" s="287"/>
      <c r="J730" s="288"/>
      <c r="K730" s="288"/>
      <c r="L730" s="7"/>
      <c r="M730" s="28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</row>
    <row r="731" ht="18.75" customHeight="1">
      <c r="A731" s="7"/>
      <c r="B731" s="284"/>
      <c r="C731" s="7"/>
      <c r="D731" s="285"/>
      <c r="E731" s="286"/>
      <c r="F731" s="7"/>
      <c r="G731" s="7"/>
      <c r="H731" s="7"/>
      <c r="I731" s="287"/>
      <c r="J731" s="288"/>
      <c r="K731" s="288"/>
      <c r="L731" s="7"/>
      <c r="M731" s="28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</row>
    <row r="732" ht="18.75" customHeight="1">
      <c r="A732" s="7"/>
      <c r="B732" s="284"/>
      <c r="C732" s="7"/>
      <c r="D732" s="285"/>
      <c r="E732" s="286"/>
      <c r="F732" s="7"/>
      <c r="G732" s="7"/>
      <c r="H732" s="7"/>
      <c r="I732" s="287"/>
      <c r="J732" s="288"/>
      <c r="K732" s="288"/>
      <c r="L732" s="7"/>
      <c r="M732" s="28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</row>
    <row r="733" ht="18.75" customHeight="1">
      <c r="A733" s="7"/>
      <c r="B733" s="284"/>
      <c r="C733" s="7"/>
      <c r="D733" s="285"/>
      <c r="E733" s="286"/>
      <c r="F733" s="7"/>
      <c r="G733" s="7"/>
      <c r="H733" s="7"/>
      <c r="I733" s="287"/>
      <c r="J733" s="288"/>
      <c r="K733" s="288"/>
      <c r="L733" s="7"/>
      <c r="M733" s="28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</row>
    <row r="734" ht="18.75" customHeight="1">
      <c r="A734" s="7"/>
      <c r="B734" s="284"/>
      <c r="C734" s="7"/>
      <c r="D734" s="285"/>
      <c r="E734" s="286"/>
      <c r="F734" s="7"/>
      <c r="G734" s="7"/>
      <c r="H734" s="7"/>
      <c r="I734" s="287"/>
      <c r="J734" s="288"/>
      <c r="K734" s="288"/>
      <c r="L734" s="7"/>
      <c r="M734" s="28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</row>
    <row r="735" ht="18.75" customHeight="1">
      <c r="A735" s="7"/>
      <c r="B735" s="284"/>
      <c r="C735" s="7"/>
      <c r="D735" s="285"/>
      <c r="E735" s="286"/>
      <c r="F735" s="7"/>
      <c r="G735" s="7"/>
      <c r="H735" s="7"/>
      <c r="I735" s="287"/>
      <c r="J735" s="288"/>
      <c r="K735" s="288"/>
      <c r="L735" s="7"/>
      <c r="M735" s="28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</row>
    <row r="736" ht="18.75" customHeight="1">
      <c r="A736" s="7"/>
      <c r="B736" s="284"/>
      <c r="C736" s="7"/>
      <c r="D736" s="285"/>
      <c r="E736" s="286"/>
      <c r="F736" s="7"/>
      <c r="G736" s="7"/>
      <c r="H736" s="7"/>
      <c r="I736" s="287"/>
      <c r="J736" s="288"/>
      <c r="K736" s="288"/>
      <c r="L736" s="7"/>
      <c r="M736" s="28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</row>
    <row r="737" ht="18.75" customHeight="1">
      <c r="A737" s="7"/>
      <c r="B737" s="284"/>
      <c r="C737" s="7"/>
      <c r="D737" s="285"/>
      <c r="E737" s="286"/>
      <c r="F737" s="7"/>
      <c r="G737" s="7"/>
      <c r="H737" s="7"/>
      <c r="I737" s="287"/>
      <c r="J737" s="288"/>
      <c r="K737" s="288"/>
      <c r="L737" s="7"/>
      <c r="M737" s="28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</row>
    <row r="738" ht="18.75" customHeight="1">
      <c r="A738" s="7"/>
      <c r="B738" s="284"/>
      <c r="C738" s="7"/>
      <c r="D738" s="285"/>
      <c r="E738" s="286"/>
      <c r="F738" s="7"/>
      <c r="G738" s="7"/>
      <c r="H738" s="7"/>
      <c r="I738" s="287"/>
      <c r="J738" s="288"/>
      <c r="K738" s="288"/>
      <c r="L738" s="7"/>
      <c r="M738" s="28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</row>
    <row r="739" ht="18.75" customHeight="1">
      <c r="A739" s="7"/>
      <c r="B739" s="284"/>
      <c r="C739" s="7"/>
      <c r="D739" s="285"/>
      <c r="E739" s="286"/>
      <c r="F739" s="7"/>
      <c r="G739" s="7"/>
      <c r="H739" s="7"/>
      <c r="I739" s="287"/>
      <c r="J739" s="288"/>
      <c r="K739" s="288"/>
      <c r="L739" s="7"/>
      <c r="M739" s="28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</row>
    <row r="740" ht="18.75" customHeight="1">
      <c r="A740" s="7"/>
      <c r="B740" s="284"/>
      <c r="C740" s="7"/>
      <c r="D740" s="285"/>
      <c r="E740" s="286"/>
      <c r="F740" s="7"/>
      <c r="G740" s="7"/>
      <c r="H740" s="7"/>
      <c r="I740" s="287"/>
      <c r="J740" s="288"/>
      <c r="K740" s="288"/>
      <c r="L740" s="7"/>
      <c r="M740" s="28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</row>
    <row r="741" ht="18.75" customHeight="1">
      <c r="A741" s="7"/>
      <c r="B741" s="284"/>
      <c r="C741" s="7"/>
      <c r="D741" s="285"/>
      <c r="E741" s="286"/>
      <c r="F741" s="7"/>
      <c r="G741" s="7"/>
      <c r="H741" s="7"/>
      <c r="I741" s="287"/>
      <c r="J741" s="288"/>
      <c r="K741" s="288"/>
      <c r="L741" s="7"/>
      <c r="M741" s="28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</row>
    <row r="742" ht="18.75" customHeight="1">
      <c r="A742" s="7"/>
      <c r="B742" s="284"/>
      <c r="C742" s="7"/>
      <c r="D742" s="285"/>
      <c r="E742" s="286"/>
      <c r="F742" s="7"/>
      <c r="G742" s="7"/>
      <c r="H742" s="7"/>
      <c r="I742" s="287"/>
      <c r="J742" s="288"/>
      <c r="K742" s="288"/>
      <c r="L742" s="7"/>
      <c r="M742" s="28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</row>
    <row r="743" ht="18.75" customHeight="1">
      <c r="A743" s="7"/>
      <c r="B743" s="284"/>
      <c r="C743" s="7"/>
      <c r="D743" s="285"/>
      <c r="E743" s="286"/>
      <c r="F743" s="7"/>
      <c r="G743" s="7"/>
      <c r="H743" s="7"/>
      <c r="I743" s="287"/>
      <c r="J743" s="288"/>
      <c r="K743" s="288"/>
      <c r="L743" s="7"/>
      <c r="M743" s="28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</row>
    <row r="744" ht="18.75" customHeight="1">
      <c r="A744" s="7"/>
      <c r="B744" s="284"/>
      <c r="C744" s="7"/>
      <c r="D744" s="285"/>
      <c r="E744" s="286"/>
      <c r="F744" s="7"/>
      <c r="G744" s="7"/>
      <c r="H744" s="7"/>
      <c r="I744" s="287"/>
      <c r="J744" s="288"/>
      <c r="K744" s="288"/>
      <c r="L744" s="7"/>
      <c r="M744" s="28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</row>
    <row r="745" ht="18.75" customHeight="1">
      <c r="A745" s="7"/>
      <c r="B745" s="284"/>
      <c r="C745" s="7"/>
      <c r="D745" s="285"/>
      <c r="E745" s="286"/>
      <c r="F745" s="7"/>
      <c r="G745" s="7"/>
      <c r="H745" s="7"/>
      <c r="I745" s="287"/>
      <c r="J745" s="288"/>
      <c r="K745" s="288"/>
      <c r="L745" s="7"/>
      <c r="M745" s="28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</row>
    <row r="746" ht="18.75" customHeight="1">
      <c r="A746" s="7"/>
      <c r="B746" s="284"/>
      <c r="C746" s="7"/>
      <c r="D746" s="285"/>
      <c r="E746" s="286"/>
      <c r="F746" s="7"/>
      <c r="G746" s="7"/>
      <c r="H746" s="7"/>
      <c r="I746" s="287"/>
      <c r="J746" s="288"/>
      <c r="K746" s="288"/>
      <c r="L746" s="7"/>
      <c r="M746" s="28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</row>
    <row r="747" ht="18.75" customHeight="1">
      <c r="A747" s="7"/>
      <c r="B747" s="284"/>
      <c r="C747" s="7"/>
      <c r="D747" s="285"/>
      <c r="E747" s="286"/>
      <c r="F747" s="7"/>
      <c r="G747" s="7"/>
      <c r="H747" s="7"/>
      <c r="I747" s="287"/>
      <c r="J747" s="288"/>
      <c r="K747" s="288"/>
      <c r="L747" s="7"/>
      <c r="M747" s="28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</row>
    <row r="748" ht="18.75" customHeight="1">
      <c r="A748" s="7"/>
      <c r="B748" s="284"/>
      <c r="C748" s="7"/>
      <c r="D748" s="285"/>
      <c r="E748" s="286"/>
      <c r="F748" s="7"/>
      <c r="G748" s="7"/>
      <c r="H748" s="7"/>
      <c r="I748" s="287"/>
      <c r="J748" s="288"/>
      <c r="K748" s="288"/>
      <c r="L748" s="7"/>
      <c r="M748" s="28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</row>
    <row r="749" ht="18.75" customHeight="1">
      <c r="A749" s="7"/>
      <c r="B749" s="284"/>
      <c r="C749" s="7"/>
      <c r="D749" s="285"/>
      <c r="E749" s="286"/>
      <c r="F749" s="7"/>
      <c r="G749" s="7"/>
      <c r="H749" s="7"/>
      <c r="I749" s="287"/>
      <c r="J749" s="288"/>
      <c r="K749" s="288"/>
      <c r="L749" s="7"/>
      <c r="M749" s="28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</row>
    <row r="750" ht="18.75" customHeight="1">
      <c r="A750" s="7"/>
      <c r="B750" s="284"/>
      <c r="C750" s="7"/>
      <c r="D750" s="285"/>
      <c r="E750" s="286"/>
      <c r="F750" s="7"/>
      <c r="G750" s="7"/>
      <c r="H750" s="7"/>
      <c r="I750" s="287"/>
      <c r="J750" s="288"/>
      <c r="K750" s="288"/>
      <c r="L750" s="7"/>
      <c r="M750" s="28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</row>
    <row r="751" ht="18.75" customHeight="1">
      <c r="A751" s="7"/>
      <c r="B751" s="284"/>
      <c r="C751" s="7"/>
      <c r="D751" s="285"/>
      <c r="E751" s="286"/>
      <c r="F751" s="7"/>
      <c r="G751" s="7"/>
      <c r="H751" s="7"/>
      <c r="I751" s="287"/>
      <c r="J751" s="288"/>
      <c r="K751" s="288"/>
      <c r="L751" s="7"/>
      <c r="M751" s="28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</row>
    <row r="752" ht="18.75" customHeight="1">
      <c r="A752" s="7"/>
      <c r="B752" s="284"/>
      <c r="C752" s="7"/>
      <c r="D752" s="285"/>
      <c r="E752" s="286"/>
      <c r="F752" s="7"/>
      <c r="G752" s="7"/>
      <c r="H752" s="7"/>
      <c r="I752" s="287"/>
      <c r="J752" s="288"/>
      <c r="K752" s="288"/>
      <c r="L752" s="7"/>
      <c r="M752" s="28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</row>
    <row r="753" ht="18.75" customHeight="1">
      <c r="A753" s="7"/>
      <c r="B753" s="284"/>
      <c r="C753" s="7"/>
      <c r="D753" s="285"/>
      <c r="E753" s="286"/>
      <c r="F753" s="7"/>
      <c r="G753" s="7"/>
      <c r="H753" s="7"/>
      <c r="I753" s="287"/>
      <c r="J753" s="288"/>
      <c r="K753" s="288"/>
      <c r="L753" s="7"/>
      <c r="M753" s="28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</row>
    <row r="754" ht="18.75" customHeight="1">
      <c r="A754" s="7"/>
      <c r="B754" s="284"/>
      <c r="C754" s="7"/>
      <c r="D754" s="285"/>
      <c r="E754" s="286"/>
      <c r="F754" s="7"/>
      <c r="G754" s="7"/>
      <c r="H754" s="7"/>
      <c r="I754" s="287"/>
      <c r="J754" s="288"/>
      <c r="K754" s="288"/>
      <c r="L754" s="7"/>
      <c r="M754" s="28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</row>
    <row r="755" ht="18.75" customHeight="1">
      <c r="A755" s="7"/>
      <c r="B755" s="284"/>
      <c r="C755" s="7"/>
      <c r="D755" s="285"/>
      <c r="E755" s="286"/>
      <c r="F755" s="7"/>
      <c r="G755" s="7"/>
      <c r="H755" s="7"/>
      <c r="I755" s="287"/>
      <c r="J755" s="288"/>
      <c r="K755" s="288"/>
      <c r="L755" s="7"/>
      <c r="M755" s="28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</row>
    <row r="756" ht="18.75" customHeight="1">
      <c r="A756" s="7"/>
      <c r="B756" s="284"/>
      <c r="C756" s="7"/>
      <c r="D756" s="285"/>
      <c r="E756" s="286"/>
      <c r="F756" s="7"/>
      <c r="G756" s="7"/>
      <c r="H756" s="7"/>
      <c r="I756" s="287"/>
      <c r="J756" s="288"/>
      <c r="K756" s="288"/>
      <c r="L756" s="7"/>
      <c r="M756" s="28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</row>
    <row r="757" ht="18.75" customHeight="1">
      <c r="A757" s="7"/>
      <c r="B757" s="284"/>
      <c r="C757" s="7"/>
      <c r="D757" s="285"/>
      <c r="E757" s="286"/>
      <c r="F757" s="7"/>
      <c r="G757" s="7"/>
      <c r="H757" s="7"/>
      <c r="I757" s="287"/>
      <c r="J757" s="288"/>
      <c r="K757" s="288"/>
      <c r="L757" s="7"/>
      <c r="M757" s="28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</row>
    <row r="758" ht="18.75" customHeight="1">
      <c r="A758" s="7"/>
      <c r="B758" s="284"/>
      <c r="C758" s="7"/>
      <c r="D758" s="285"/>
      <c r="E758" s="286"/>
      <c r="F758" s="7"/>
      <c r="G758" s="7"/>
      <c r="H758" s="7"/>
      <c r="I758" s="287"/>
      <c r="J758" s="288"/>
      <c r="K758" s="288"/>
      <c r="L758" s="7"/>
      <c r="M758" s="28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</row>
    <row r="759" ht="18.75" customHeight="1">
      <c r="A759" s="7"/>
      <c r="B759" s="284"/>
      <c r="C759" s="7"/>
      <c r="D759" s="285"/>
      <c r="E759" s="286"/>
      <c r="F759" s="7"/>
      <c r="G759" s="7"/>
      <c r="H759" s="7"/>
      <c r="I759" s="287"/>
      <c r="J759" s="288"/>
      <c r="K759" s="288"/>
      <c r="L759" s="7"/>
      <c r="M759" s="28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</row>
    <row r="760" ht="18.75" customHeight="1">
      <c r="A760" s="7"/>
      <c r="B760" s="284"/>
      <c r="C760" s="7"/>
      <c r="D760" s="285"/>
      <c r="E760" s="286"/>
      <c r="F760" s="7"/>
      <c r="G760" s="7"/>
      <c r="H760" s="7"/>
      <c r="I760" s="287"/>
      <c r="J760" s="288"/>
      <c r="K760" s="288"/>
      <c r="L760" s="7"/>
      <c r="M760" s="28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</row>
    <row r="761" ht="18.75" customHeight="1">
      <c r="A761" s="7"/>
      <c r="B761" s="284"/>
      <c r="C761" s="7"/>
      <c r="D761" s="285"/>
      <c r="E761" s="286"/>
      <c r="F761" s="7"/>
      <c r="G761" s="7"/>
      <c r="H761" s="7"/>
      <c r="I761" s="287"/>
      <c r="J761" s="288"/>
      <c r="K761" s="288"/>
      <c r="L761" s="7"/>
      <c r="M761" s="28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</row>
    <row r="762" ht="18.75" customHeight="1">
      <c r="A762" s="7"/>
      <c r="B762" s="284"/>
      <c r="C762" s="7"/>
      <c r="D762" s="285"/>
      <c r="E762" s="286"/>
      <c r="F762" s="7"/>
      <c r="G762" s="7"/>
      <c r="H762" s="7"/>
      <c r="I762" s="287"/>
      <c r="J762" s="288"/>
      <c r="K762" s="288"/>
      <c r="L762" s="7"/>
      <c r="M762" s="28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</row>
    <row r="763" ht="18.75" customHeight="1">
      <c r="A763" s="7"/>
      <c r="B763" s="284"/>
      <c r="C763" s="7"/>
      <c r="D763" s="285"/>
      <c r="E763" s="286"/>
      <c r="F763" s="7"/>
      <c r="G763" s="7"/>
      <c r="H763" s="7"/>
      <c r="I763" s="287"/>
      <c r="J763" s="288"/>
      <c r="K763" s="288"/>
      <c r="L763" s="7"/>
      <c r="M763" s="28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</row>
    <row r="764" ht="18.75" customHeight="1">
      <c r="A764" s="7"/>
      <c r="B764" s="284"/>
      <c r="C764" s="7"/>
      <c r="D764" s="285"/>
      <c r="E764" s="286"/>
      <c r="F764" s="7"/>
      <c r="G764" s="7"/>
      <c r="H764" s="7"/>
      <c r="I764" s="287"/>
      <c r="J764" s="288"/>
      <c r="K764" s="288"/>
      <c r="L764" s="7"/>
      <c r="M764" s="28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</row>
    <row r="765" ht="18.75" customHeight="1">
      <c r="A765" s="7"/>
      <c r="B765" s="284"/>
      <c r="C765" s="7"/>
      <c r="D765" s="285"/>
      <c r="E765" s="286"/>
      <c r="F765" s="7"/>
      <c r="G765" s="7"/>
      <c r="H765" s="7"/>
      <c r="I765" s="287"/>
      <c r="J765" s="288"/>
      <c r="K765" s="288"/>
      <c r="L765" s="7"/>
      <c r="M765" s="28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</row>
    <row r="766" ht="18.75" customHeight="1">
      <c r="A766" s="7"/>
      <c r="B766" s="284"/>
      <c r="C766" s="7"/>
      <c r="D766" s="285"/>
      <c r="E766" s="286"/>
      <c r="F766" s="7"/>
      <c r="G766" s="7"/>
      <c r="H766" s="7"/>
      <c r="I766" s="287"/>
      <c r="J766" s="288"/>
      <c r="K766" s="288"/>
      <c r="L766" s="7"/>
      <c r="M766" s="28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</row>
    <row r="767" ht="18.75" customHeight="1">
      <c r="A767" s="7"/>
      <c r="B767" s="284"/>
      <c r="C767" s="7"/>
      <c r="D767" s="285"/>
      <c r="E767" s="286"/>
      <c r="F767" s="7"/>
      <c r="G767" s="7"/>
      <c r="H767" s="7"/>
      <c r="I767" s="287"/>
      <c r="J767" s="288"/>
      <c r="K767" s="288"/>
      <c r="L767" s="7"/>
      <c r="M767" s="28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</row>
    <row r="768" ht="18.75" customHeight="1">
      <c r="A768" s="7"/>
      <c r="B768" s="284"/>
      <c r="C768" s="7"/>
      <c r="D768" s="285"/>
      <c r="E768" s="286"/>
      <c r="F768" s="7"/>
      <c r="G768" s="7"/>
      <c r="H768" s="7"/>
      <c r="I768" s="287"/>
      <c r="J768" s="288"/>
      <c r="K768" s="288"/>
      <c r="L768" s="7"/>
      <c r="M768" s="28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</row>
    <row r="769" ht="18.75" customHeight="1">
      <c r="A769" s="7"/>
      <c r="B769" s="284"/>
      <c r="C769" s="7"/>
      <c r="D769" s="285"/>
      <c r="E769" s="286"/>
      <c r="F769" s="7"/>
      <c r="G769" s="7"/>
      <c r="H769" s="7"/>
      <c r="I769" s="287"/>
      <c r="J769" s="288"/>
      <c r="K769" s="288"/>
      <c r="L769" s="7"/>
      <c r="M769" s="28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</row>
    <row r="770" ht="18.75" customHeight="1">
      <c r="A770" s="7"/>
      <c r="B770" s="284"/>
      <c r="C770" s="7"/>
      <c r="D770" s="285"/>
      <c r="E770" s="286"/>
      <c r="F770" s="7"/>
      <c r="G770" s="7"/>
      <c r="H770" s="7"/>
      <c r="I770" s="287"/>
      <c r="J770" s="288"/>
      <c r="K770" s="288"/>
      <c r="L770" s="7"/>
      <c r="M770" s="28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</row>
    <row r="771" ht="18.75" customHeight="1">
      <c r="A771" s="7"/>
      <c r="B771" s="284"/>
      <c r="C771" s="7"/>
      <c r="D771" s="285"/>
      <c r="E771" s="286"/>
      <c r="F771" s="7"/>
      <c r="G771" s="7"/>
      <c r="H771" s="7"/>
      <c r="I771" s="287"/>
      <c r="J771" s="288"/>
      <c r="K771" s="288"/>
      <c r="L771" s="7"/>
      <c r="M771" s="28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</row>
    <row r="772" ht="18.75" customHeight="1">
      <c r="A772" s="7"/>
      <c r="B772" s="284"/>
      <c r="C772" s="7"/>
      <c r="D772" s="285"/>
      <c r="E772" s="286"/>
      <c r="F772" s="7"/>
      <c r="G772" s="7"/>
      <c r="H772" s="7"/>
      <c r="I772" s="287"/>
      <c r="J772" s="288"/>
      <c r="K772" s="288"/>
      <c r="L772" s="7"/>
      <c r="M772" s="28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</row>
    <row r="773" ht="18.75" customHeight="1">
      <c r="A773" s="7"/>
      <c r="B773" s="284"/>
      <c r="C773" s="7"/>
      <c r="D773" s="285"/>
      <c r="E773" s="286"/>
      <c r="F773" s="7"/>
      <c r="G773" s="7"/>
      <c r="H773" s="7"/>
      <c r="I773" s="287"/>
      <c r="J773" s="288"/>
      <c r="K773" s="288"/>
      <c r="L773" s="7"/>
      <c r="M773" s="28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</row>
    <row r="774" ht="18.75" customHeight="1">
      <c r="A774" s="7"/>
      <c r="B774" s="284"/>
      <c r="C774" s="7"/>
      <c r="D774" s="285"/>
      <c r="E774" s="286"/>
      <c r="F774" s="7"/>
      <c r="G774" s="7"/>
      <c r="H774" s="7"/>
      <c r="I774" s="287"/>
      <c r="J774" s="288"/>
      <c r="K774" s="288"/>
      <c r="L774" s="7"/>
      <c r="M774" s="28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</row>
    <row r="775" ht="18.75" customHeight="1">
      <c r="A775" s="7"/>
      <c r="B775" s="284"/>
      <c r="C775" s="7"/>
      <c r="D775" s="285"/>
      <c r="E775" s="286"/>
      <c r="F775" s="7"/>
      <c r="G775" s="7"/>
      <c r="H775" s="7"/>
      <c r="I775" s="287"/>
      <c r="J775" s="288"/>
      <c r="K775" s="288"/>
      <c r="L775" s="7"/>
      <c r="M775" s="28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</row>
    <row r="776" ht="18.75" customHeight="1">
      <c r="A776" s="7"/>
      <c r="B776" s="284"/>
      <c r="C776" s="7"/>
      <c r="D776" s="285"/>
      <c r="E776" s="286"/>
      <c r="F776" s="7"/>
      <c r="G776" s="7"/>
      <c r="H776" s="7"/>
      <c r="I776" s="287"/>
      <c r="J776" s="288"/>
      <c r="K776" s="288"/>
      <c r="L776" s="7"/>
      <c r="M776" s="28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</row>
    <row r="777" ht="18.75" customHeight="1">
      <c r="A777" s="7"/>
      <c r="B777" s="284"/>
      <c r="C777" s="7"/>
      <c r="D777" s="285"/>
      <c r="E777" s="286"/>
      <c r="F777" s="7"/>
      <c r="G777" s="7"/>
      <c r="H777" s="7"/>
      <c r="I777" s="287"/>
      <c r="J777" s="288"/>
      <c r="K777" s="288"/>
      <c r="L777" s="7"/>
      <c r="M777" s="28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</row>
    <row r="778" ht="18.75" customHeight="1">
      <c r="A778" s="7"/>
      <c r="B778" s="284"/>
      <c r="C778" s="7"/>
      <c r="D778" s="285"/>
      <c r="E778" s="286"/>
      <c r="F778" s="7"/>
      <c r="G778" s="7"/>
      <c r="H778" s="7"/>
      <c r="I778" s="287"/>
      <c r="J778" s="288"/>
      <c r="K778" s="288"/>
      <c r="L778" s="7"/>
      <c r="M778" s="28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</row>
    <row r="779" ht="18.75" customHeight="1">
      <c r="A779" s="7"/>
      <c r="B779" s="284"/>
      <c r="C779" s="7"/>
      <c r="D779" s="285"/>
      <c r="E779" s="286"/>
      <c r="F779" s="7"/>
      <c r="G779" s="7"/>
      <c r="H779" s="7"/>
      <c r="I779" s="287"/>
      <c r="J779" s="288"/>
      <c r="K779" s="288"/>
      <c r="L779" s="7"/>
      <c r="M779" s="28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</row>
    <row r="780" ht="18.75" customHeight="1">
      <c r="A780" s="7"/>
      <c r="B780" s="284"/>
      <c r="C780" s="7"/>
      <c r="D780" s="285"/>
      <c r="E780" s="286"/>
      <c r="F780" s="7"/>
      <c r="G780" s="7"/>
      <c r="H780" s="7"/>
      <c r="I780" s="287"/>
      <c r="J780" s="288"/>
      <c r="K780" s="288"/>
      <c r="L780" s="7"/>
      <c r="M780" s="28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</row>
    <row r="781" ht="18.75" customHeight="1">
      <c r="A781" s="7"/>
      <c r="B781" s="284"/>
      <c r="C781" s="7"/>
      <c r="D781" s="285"/>
      <c r="E781" s="286"/>
      <c r="F781" s="7"/>
      <c r="G781" s="7"/>
      <c r="H781" s="7"/>
      <c r="I781" s="287"/>
      <c r="J781" s="288"/>
      <c r="K781" s="288"/>
      <c r="L781" s="7"/>
      <c r="M781" s="28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</row>
    <row r="782" ht="18.75" customHeight="1">
      <c r="A782" s="7"/>
      <c r="B782" s="284"/>
      <c r="C782" s="7"/>
      <c r="D782" s="285"/>
      <c r="E782" s="286"/>
      <c r="F782" s="7"/>
      <c r="G782" s="7"/>
      <c r="H782" s="7"/>
      <c r="I782" s="287"/>
      <c r="J782" s="288"/>
      <c r="K782" s="288"/>
      <c r="L782" s="7"/>
      <c r="M782" s="28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</row>
    <row r="783" ht="18.75" customHeight="1">
      <c r="A783" s="7"/>
      <c r="B783" s="284"/>
      <c r="C783" s="7"/>
      <c r="D783" s="285"/>
      <c r="E783" s="286"/>
      <c r="F783" s="7"/>
      <c r="G783" s="7"/>
      <c r="H783" s="7"/>
      <c r="I783" s="287"/>
      <c r="J783" s="288"/>
      <c r="K783" s="288"/>
      <c r="L783" s="7"/>
      <c r="M783" s="28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</row>
    <row r="784" ht="18.75" customHeight="1">
      <c r="A784" s="7"/>
      <c r="B784" s="284"/>
      <c r="C784" s="7"/>
      <c r="D784" s="285"/>
      <c r="E784" s="286"/>
      <c r="F784" s="7"/>
      <c r="G784" s="7"/>
      <c r="H784" s="7"/>
      <c r="I784" s="287"/>
      <c r="J784" s="288"/>
      <c r="K784" s="288"/>
      <c r="L784" s="7"/>
      <c r="M784" s="28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</row>
    <row r="785" ht="18.75" customHeight="1">
      <c r="A785" s="7"/>
      <c r="B785" s="284"/>
      <c r="C785" s="7"/>
      <c r="D785" s="285"/>
      <c r="E785" s="286"/>
      <c r="F785" s="7"/>
      <c r="G785" s="7"/>
      <c r="H785" s="7"/>
      <c r="I785" s="287"/>
      <c r="J785" s="288"/>
      <c r="K785" s="288"/>
      <c r="L785" s="7"/>
      <c r="M785" s="28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</row>
    <row r="786" ht="18.75" customHeight="1">
      <c r="A786" s="7"/>
      <c r="B786" s="284"/>
      <c r="C786" s="7"/>
      <c r="D786" s="285"/>
      <c r="E786" s="286"/>
      <c r="F786" s="7"/>
      <c r="G786" s="7"/>
      <c r="H786" s="7"/>
      <c r="I786" s="287"/>
      <c r="J786" s="288"/>
      <c r="K786" s="288"/>
      <c r="L786" s="7"/>
      <c r="M786" s="28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</row>
    <row r="787" ht="18.75" customHeight="1">
      <c r="A787" s="7"/>
      <c r="B787" s="284"/>
      <c r="C787" s="7"/>
      <c r="D787" s="285"/>
      <c r="E787" s="286"/>
      <c r="F787" s="7"/>
      <c r="G787" s="7"/>
      <c r="H787" s="7"/>
      <c r="I787" s="287"/>
      <c r="J787" s="288"/>
      <c r="K787" s="288"/>
      <c r="L787" s="7"/>
      <c r="M787" s="28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</row>
    <row r="788" ht="18.75" customHeight="1">
      <c r="A788" s="7"/>
      <c r="B788" s="284"/>
      <c r="C788" s="7"/>
      <c r="D788" s="285"/>
      <c r="E788" s="286"/>
      <c r="F788" s="7"/>
      <c r="G788" s="7"/>
      <c r="H788" s="7"/>
      <c r="I788" s="287"/>
      <c r="J788" s="288"/>
      <c r="K788" s="288"/>
      <c r="L788" s="7"/>
      <c r="M788" s="28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</row>
    <row r="789" ht="18.75" customHeight="1">
      <c r="A789" s="7"/>
      <c r="B789" s="284"/>
      <c r="C789" s="7"/>
      <c r="D789" s="285"/>
      <c r="E789" s="286"/>
      <c r="F789" s="7"/>
      <c r="G789" s="7"/>
      <c r="H789" s="7"/>
      <c r="I789" s="287"/>
      <c r="J789" s="288"/>
      <c r="K789" s="288"/>
      <c r="L789" s="7"/>
      <c r="M789" s="28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</row>
    <row r="790" ht="18.75" customHeight="1">
      <c r="A790" s="7"/>
      <c r="B790" s="284"/>
      <c r="C790" s="7"/>
      <c r="D790" s="285"/>
      <c r="E790" s="286"/>
      <c r="F790" s="7"/>
      <c r="G790" s="7"/>
      <c r="H790" s="7"/>
      <c r="I790" s="287"/>
      <c r="J790" s="288"/>
      <c r="K790" s="288"/>
      <c r="L790" s="7"/>
      <c r="M790" s="28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</row>
    <row r="791" ht="18.75" customHeight="1">
      <c r="A791" s="7"/>
      <c r="B791" s="284"/>
      <c r="C791" s="7"/>
      <c r="D791" s="285"/>
      <c r="E791" s="286"/>
      <c r="F791" s="7"/>
      <c r="G791" s="7"/>
      <c r="H791" s="7"/>
      <c r="I791" s="287"/>
      <c r="J791" s="288"/>
      <c r="K791" s="288"/>
      <c r="L791" s="7"/>
      <c r="M791" s="28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</row>
    <row r="792" ht="18.75" customHeight="1">
      <c r="A792" s="7"/>
      <c r="B792" s="284"/>
      <c r="C792" s="7"/>
      <c r="D792" s="285"/>
      <c r="E792" s="286"/>
      <c r="F792" s="7"/>
      <c r="G792" s="7"/>
      <c r="H792" s="7"/>
      <c r="I792" s="287"/>
      <c r="J792" s="288"/>
      <c r="K792" s="288"/>
      <c r="L792" s="7"/>
      <c r="M792" s="28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</row>
    <row r="793" ht="18.75" customHeight="1">
      <c r="A793" s="7"/>
      <c r="B793" s="284"/>
      <c r="C793" s="7"/>
      <c r="D793" s="285"/>
      <c r="E793" s="286"/>
      <c r="F793" s="7"/>
      <c r="G793" s="7"/>
      <c r="H793" s="7"/>
      <c r="I793" s="287"/>
      <c r="J793" s="288"/>
      <c r="K793" s="288"/>
      <c r="L793" s="7"/>
      <c r="M793" s="28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</row>
    <row r="794" ht="18.75" customHeight="1">
      <c r="A794" s="7"/>
      <c r="B794" s="284"/>
      <c r="C794" s="7"/>
      <c r="D794" s="285"/>
      <c r="E794" s="286"/>
      <c r="F794" s="7"/>
      <c r="G794" s="7"/>
      <c r="H794" s="7"/>
      <c r="I794" s="287"/>
      <c r="J794" s="288"/>
      <c r="K794" s="288"/>
      <c r="L794" s="7"/>
      <c r="M794" s="28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</row>
    <row r="795" ht="18.75" customHeight="1">
      <c r="A795" s="7"/>
      <c r="B795" s="284"/>
      <c r="C795" s="7"/>
      <c r="D795" s="285"/>
      <c r="E795" s="286"/>
      <c r="F795" s="7"/>
      <c r="G795" s="7"/>
      <c r="H795" s="7"/>
      <c r="I795" s="287"/>
      <c r="J795" s="288"/>
      <c r="K795" s="288"/>
      <c r="L795" s="7"/>
      <c r="M795" s="28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</row>
    <row r="796" ht="18.75" customHeight="1">
      <c r="A796" s="7"/>
      <c r="B796" s="284"/>
      <c r="C796" s="7"/>
      <c r="D796" s="285"/>
      <c r="E796" s="286"/>
      <c r="F796" s="7"/>
      <c r="G796" s="7"/>
      <c r="H796" s="7"/>
      <c r="I796" s="287"/>
      <c r="J796" s="288"/>
      <c r="K796" s="288"/>
      <c r="L796" s="7"/>
      <c r="M796" s="28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</row>
    <row r="797" ht="18.75" customHeight="1">
      <c r="A797" s="7"/>
      <c r="B797" s="284"/>
      <c r="C797" s="7"/>
      <c r="D797" s="285"/>
      <c r="E797" s="286"/>
      <c r="F797" s="7"/>
      <c r="G797" s="7"/>
      <c r="H797" s="7"/>
      <c r="I797" s="287"/>
      <c r="J797" s="288"/>
      <c r="K797" s="288"/>
      <c r="L797" s="7"/>
      <c r="M797" s="28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</row>
    <row r="798" ht="18.75" customHeight="1">
      <c r="A798" s="7"/>
      <c r="B798" s="284"/>
      <c r="C798" s="7"/>
      <c r="D798" s="285"/>
      <c r="E798" s="286"/>
      <c r="F798" s="7"/>
      <c r="G798" s="7"/>
      <c r="H798" s="7"/>
      <c r="I798" s="287"/>
      <c r="J798" s="288"/>
      <c r="K798" s="288"/>
      <c r="L798" s="7"/>
      <c r="M798" s="28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</row>
    <row r="799" ht="18.75" customHeight="1">
      <c r="A799" s="7"/>
      <c r="B799" s="284"/>
      <c r="C799" s="7"/>
      <c r="D799" s="285"/>
      <c r="E799" s="286"/>
      <c r="F799" s="7"/>
      <c r="G799" s="7"/>
      <c r="H799" s="7"/>
      <c r="I799" s="287"/>
      <c r="J799" s="288"/>
      <c r="K799" s="288"/>
      <c r="L799" s="7"/>
      <c r="M799" s="28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</row>
    <row r="800" ht="18.75" customHeight="1">
      <c r="A800" s="7"/>
      <c r="B800" s="284"/>
      <c r="C800" s="7"/>
      <c r="D800" s="285"/>
      <c r="E800" s="286"/>
      <c r="F800" s="7"/>
      <c r="G800" s="7"/>
      <c r="H800" s="7"/>
      <c r="I800" s="287"/>
      <c r="J800" s="288"/>
      <c r="K800" s="288"/>
      <c r="L800" s="7"/>
      <c r="M800" s="28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</row>
    <row r="801" ht="18.75" customHeight="1">
      <c r="A801" s="7"/>
      <c r="B801" s="284"/>
      <c r="C801" s="7"/>
      <c r="D801" s="285"/>
      <c r="E801" s="286"/>
      <c r="F801" s="7"/>
      <c r="G801" s="7"/>
      <c r="H801" s="7"/>
      <c r="I801" s="287"/>
      <c r="J801" s="288"/>
      <c r="K801" s="288"/>
      <c r="L801" s="7"/>
      <c r="M801" s="28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</row>
    <row r="802" ht="18.75" customHeight="1">
      <c r="A802" s="7"/>
      <c r="B802" s="284"/>
      <c r="C802" s="7"/>
      <c r="D802" s="285"/>
      <c r="E802" s="286"/>
      <c r="F802" s="7"/>
      <c r="G802" s="7"/>
      <c r="H802" s="7"/>
      <c r="I802" s="287"/>
      <c r="J802" s="288"/>
      <c r="K802" s="288"/>
      <c r="L802" s="7"/>
      <c r="M802" s="28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</row>
    <row r="803" ht="18.75" customHeight="1">
      <c r="A803" s="7"/>
      <c r="B803" s="284"/>
      <c r="C803" s="7"/>
      <c r="D803" s="285"/>
      <c r="E803" s="286"/>
      <c r="F803" s="7"/>
      <c r="G803" s="7"/>
      <c r="H803" s="7"/>
      <c r="I803" s="287"/>
      <c r="J803" s="288"/>
      <c r="K803" s="288"/>
      <c r="L803" s="7"/>
      <c r="M803" s="28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</row>
    <row r="804" ht="18.75" customHeight="1">
      <c r="A804" s="7"/>
      <c r="B804" s="284"/>
      <c r="C804" s="7"/>
      <c r="D804" s="285"/>
      <c r="E804" s="286"/>
      <c r="F804" s="7"/>
      <c r="G804" s="7"/>
      <c r="H804" s="7"/>
      <c r="I804" s="287"/>
      <c r="J804" s="288"/>
      <c r="K804" s="288"/>
      <c r="L804" s="7"/>
      <c r="M804" s="28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</row>
    <row r="805" ht="18.75" customHeight="1">
      <c r="A805" s="7"/>
      <c r="B805" s="284"/>
      <c r="C805" s="7"/>
      <c r="D805" s="285"/>
      <c r="E805" s="286"/>
      <c r="F805" s="7"/>
      <c r="G805" s="7"/>
      <c r="H805" s="7"/>
      <c r="I805" s="287"/>
      <c r="J805" s="288"/>
      <c r="K805" s="288"/>
      <c r="L805" s="7"/>
      <c r="M805" s="28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</row>
    <row r="806" ht="18.75" customHeight="1">
      <c r="A806" s="7"/>
      <c r="B806" s="284"/>
      <c r="C806" s="7"/>
      <c r="D806" s="285"/>
      <c r="E806" s="286"/>
      <c r="F806" s="7"/>
      <c r="G806" s="7"/>
      <c r="H806" s="7"/>
      <c r="I806" s="287"/>
      <c r="J806" s="288"/>
      <c r="K806" s="288"/>
      <c r="L806" s="7"/>
      <c r="M806" s="28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</row>
    <row r="807" ht="18.75" customHeight="1">
      <c r="A807" s="7"/>
      <c r="B807" s="284"/>
      <c r="C807" s="7"/>
      <c r="D807" s="285"/>
      <c r="E807" s="286"/>
      <c r="F807" s="7"/>
      <c r="G807" s="7"/>
      <c r="H807" s="7"/>
      <c r="I807" s="287"/>
      <c r="J807" s="288"/>
      <c r="K807" s="288"/>
      <c r="L807" s="7"/>
      <c r="M807" s="28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</row>
    <row r="808" ht="18.75" customHeight="1">
      <c r="A808" s="7"/>
      <c r="B808" s="284"/>
      <c r="C808" s="7"/>
      <c r="D808" s="285"/>
      <c r="E808" s="286"/>
      <c r="F808" s="7"/>
      <c r="G808" s="7"/>
      <c r="H808" s="7"/>
      <c r="I808" s="287"/>
      <c r="J808" s="288"/>
      <c r="K808" s="288"/>
      <c r="L808" s="7"/>
      <c r="M808" s="28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</row>
    <row r="809" ht="18.75" customHeight="1">
      <c r="A809" s="7"/>
      <c r="B809" s="284"/>
      <c r="C809" s="7"/>
      <c r="D809" s="285"/>
      <c r="E809" s="286"/>
      <c r="F809" s="7"/>
      <c r="G809" s="7"/>
      <c r="H809" s="7"/>
      <c r="I809" s="287"/>
      <c r="J809" s="288"/>
      <c r="K809" s="288"/>
      <c r="L809" s="7"/>
      <c r="M809" s="28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</row>
    <row r="810" ht="18.75" customHeight="1">
      <c r="A810" s="7"/>
      <c r="B810" s="284"/>
      <c r="C810" s="7"/>
      <c r="D810" s="285"/>
      <c r="E810" s="286"/>
      <c r="F810" s="7"/>
      <c r="G810" s="7"/>
      <c r="H810" s="7"/>
      <c r="I810" s="287"/>
      <c r="J810" s="288"/>
      <c r="K810" s="288"/>
      <c r="L810" s="7"/>
      <c r="M810" s="28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</row>
    <row r="811" ht="18.75" customHeight="1">
      <c r="A811" s="7"/>
      <c r="B811" s="284"/>
      <c r="C811" s="7"/>
      <c r="D811" s="285"/>
      <c r="E811" s="286"/>
      <c r="F811" s="7"/>
      <c r="G811" s="7"/>
      <c r="H811" s="7"/>
      <c r="I811" s="287"/>
      <c r="J811" s="288"/>
      <c r="K811" s="288"/>
      <c r="L811" s="7"/>
      <c r="M811" s="28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</row>
    <row r="812" ht="18.75" customHeight="1">
      <c r="A812" s="7"/>
      <c r="B812" s="284"/>
      <c r="C812" s="7"/>
      <c r="D812" s="285"/>
      <c r="E812" s="286"/>
      <c r="F812" s="7"/>
      <c r="G812" s="7"/>
      <c r="H812" s="7"/>
      <c r="I812" s="287"/>
      <c r="J812" s="288"/>
      <c r="K812" s="288"/>
      <c r="L812" s="7"/>
      <c r="M812" s="28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</row>
    <row r="813" ht="18.75" customHeight="1">
      <c r="A813" s="7"/>
      <c r="B813" s="284"/>
      <c r="C813" s="7"/>
      <c r="D813" s="285"/>
      <c r="E813" s="286"/>
      <c r="F813" s="7"/>
      <c r="G813" s="7"/>
      <c r="H813" s="7"/>
      <c r="I813" s="287"/>
      <c r="J813" s="288"/>
      <c r="K813" s="288"/>
      <c r="L813" s="7"/>
      <c r="M813" s="28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</row>
    <row r="814" ht="18.75" customHeight="1">
      <c r="A814" s="7"/>
      <c r="B814" s="284"/>
      <c r="C814" s="7"/>
      <c r="D814" s="285"/>
      <c r="E814" s="286"/>
      <c r="F814" s="7"/>
      <c r="G814" s="7"/>
      <c r="H814" s="7"/>
      <c r="I814" s="287"/>
      <c r="J814" s="288"/>
      <c r="K814" s="288"/>
      <c r="L814" s="7"/>
      <c r="M814" s="28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</row>
    <row r="815" ht="18.75" customHeight="1">
      <c r="A815" s="7"/>
      <c r="B815" s="284"/>
      <c r="C815" s="7"/>
      <c r="D815" s="285"/>
      <c r="E815" s="286"/>
      <c r="F815" s="7"/>
      <c r="G815" s="7"/>
      <c r="H815" s="7"/>
      <c r="I815" s="287"/>
      <c r="J815" s="288"/>
      <c r="K815" s="288"/>
      <c r="L815" s="7"/>
      <c r="M815" s="28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</row>
    <row r="816" ht="18.75" customHeight="1">
      <c r="A816" s="7"/>
      <c r="B816" s="284"/>
      <c r="C816" s="7"/>
      <c r="D816" s="285"/>
      <c r="E816" s="286"/>
      <c r="F816" s="7"/>
      <c r="G816" s="7"/>
      <c r="H816" s="7"/>
      <c r="I816" s="287"/>
      <c r="J816" s="288"/>
      <c r="K816" s="288"/>
      <c r="L816" s="7"/>
      <c r="M816" s="28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</row>
    <row r="817" ht="18.75" customHeight="1">
      <c r="A817" s="7"/>
      <c r="B817" s="284"/>
      <c r="C817" s="7"/>
      <c r="D817" s="285"/>
      <c r="E817" s="286"/>
      <c r="F817" s="7"/>
      <c r="G817" s="7"/>
      <c r="H817" s="7"/>
      <c r="I817" s="287"/>
      <c r="J817" s="288"/>
      <c r="K817" s="288"/>
      <c r="L817" s="7"/>
      <c r="M817" s="28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</row>
    <row r="818" ht="18.75" customHeight="1">
      <c r="A818" s="7"/>
      <c r="B818" s="284"/>
      <c r="C818" s="7"/>
      <c r="D818" s="285"/>
      <c r="E818" s="286"/>
      <c r="F818" s="7"/>
      <c r="G818" s="7"/>
      <c r="H818" s="7"/>
      <c r="I818" s="287"/>
      <c r="J818" s="288"/>
      <c r="K818" s="288"/>
      <c r="L818" s="7"/>
      <c r="M818" s="28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</row>
    <row r="819" ht="18.75" customHeight="1">
      <c r="A819" s="7"/>
      <c r="B819" s="284"/>
      <c r="C819" s="7"/>
      <c r="D819" s="285"/>
      <c r="E819" s="286"/>
      <c r="F819" s="7"/>
      <c r="G819" s="7"/>
      <c r="H819" s="7"/>
      <c r="I819" s="287"/>
      <c r="J819" s="288"/>
      <c r="K819" s="288"/>
      <c r="L819" s="7"/>
      <c r="M819" s="28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</row>
    <row r="820" ht="18.75" customHeight="1">
      <c r="A820" s="7"/>
      <c r="B820" s="284"/>
      <c r="C820" s="7"/>
      <c r="D820" s="285"/>
      <c r="E820" s="286"/>
      <c r="F820" s="7"/>
      <c r="G820" s="7"/>
      <c r="H820" s="7"/>
      <c r="I820" s="287"/>
      <c r="J820" s="288"/>
      <c r="K820" s="288"/>
      <c r="L820" s="7"/>
      <c r="M820" s="28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</row>
    <row r="821" ht="18.75" customHeight="1">
      <c r="A821" s="7"/>
      <c r="B821" s="284"/>
      <c r="C821" s="7"/>
      <c r="D821" s="285"/>
      <c r="E821" s="286"/>
      <c r="F821" s="7"/>
      <c r="G821" s="7"/>
      <c r="H821" s="7"/>
      <c r="I821" s="287"/>
      <c r="J821" s="288"/>
      <c r="K821" s="288"/>
      <c r="L821" s="7"/>
      <c r="M821" s="28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</row>
    <row r="822" ht="18.75" customHeight="1">
      <c r="A822" s="7"/>
      <c r="B822" s="284"/>
      <c r="C822" s="7"/>
      <c r="D822" s="285"/>
      <c r="E822" s="286"/>
      <c r="F822" s="7"/>
      <c r="G822" s="7"/>
      <c r="H822" s="7"/>
      <c r="I822" s="287"/>
      <c r="J822" s="288"/>
      <c r="K822" s="288"/>
      <c r="L822" s="7"/>
      <c r="M822" s="28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</row>
    <row r="823" ht="18.75" customHeight="1">
      <c r="A823" s="7"/>
      <c r="B823" s="284"/>
      <c r="C823" s="7"/>
      <c r="D823" s="285"/>
      <c r="E823" s="286"/>
      <c r="F823" s="7"/>
      <c r="G823" s="7"/>
      <c r="H823" s="7"/>
      <c r="I823" s="287"/>
      <c r="J823" s="288"/>
      <c r="K823" s="288"/>
      <c r="L823" s="7"/>
      <c r="M823" s="28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</row>
    <row r="824" ht="18.75" customHeight="1">
      <c r="A824" s="7"/>
      <c r="B824" s="284"/>
      <c r="C824" s="7"/>
      <c r="D824" s="285"/>
      <c r="E824" s="286"/>
      <c r="F824" s="7"/>
      <c r="G824" s="7"/>
      <c r="H824" s="7"/>
      <c r="I824" s="287"/>
      <c r="J824" s="288"/>
      <c r="K824" s="288"/>
      <c r="L824" s="7"/>
      <c r="M824" s="28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</row>
    <row r="825" ht="18.75" customHeight="1">
      <c r="A825" s="7"/>
      <c r="B825" s="284"/>
      <c r="C825" s="7"/>
      <c r="D825" s="285"/>
      <c r="E825" s="286"/>
      <c r="F825" s="7"/>
      <c r="G825" s="7"/>
      <c r="H825" s="7"/>
      <c r="I825" s="287"/>
      <c r="J825" s="288"/>
      <c r="K825" s="288"/>
      <c r="L825" s="7"/>
      <c r="M825" s="28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</row>
    <row r="826" ht="18.75" customHeight="1">
      <c r="A826" s="7"/>
      <c r="B826" s="284"/>
      <c r="C826" s="7"/>
      <c r="D826" s="285"/>
      <c r="E826" s="286"/>
      <c r="F826" s="7"/>
      <c r="G826" s="7"/>
      <c r="H826" s="7"/>
      <c r="I826" s="287"/>
      <c r="J826" s="288"/>
      <c r="K826" s="288"/>
      <c r="L826" s="7"/>
      <c r="M826" s="28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</row>
    <row r="827" ht="18.75" customHeight="1">
      <c r="A827" s="7"/>
      <c r="B827" s="284"/>
      <c r="C827" s="7"/>
      <c r="D827" s="285"/>
      <c r="E827" s="286"/>
      <c r="F827" s="7"/>
      <c r="G827" s="7"/>
      <c r="H827" s="7"/>
      <c r="I827" s="287"/>
      <c r="J827" s="288"/>
      <c r="K827" s="288"/>
      <c r="L827" s="7"/>
      <c r="M827" s="28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</row>
    <row r="828" ht="18.75" customHeight="1">
      <c r="A828" s="7"/>
      <c r="B828" s="284"/>
      <c r="C828" s="7"/>
      <c r="D828" s="285"/>
      <c r="E828" s="286"/>
      <c r="F828" s="7"/>
      <c r="G828" s="7"/>
      <c r="H828" s="7"/>
      <c r="I828" s="287"/>
      <c r="J828" s="288"/>
      <c r="K828" s="288"/>
      <c r="L828" s="7"/>
      <c r="M828" s="28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</row>
    <row r="829" ht="18.75" customHeight="1">
      <c r="A829" s="7"/>
      <c r="B829" s="284"/>
      <c r="C829" s="7"/>
      <c r="D829" s="285"/>
      <c r="E829" s="286"/>
      <c r="F829" s="7"/>
      <c r="G829" s="7"/>
      <c r="H829" s="7"/>
      <c r="I829" s="287"/>
      <c r="J829" s="288"/>
      <c r="K829" s="288"/>
      <c r="L829" s="7"/>
      <c r="M829" s="28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</row>
    <row r="830" ht="18.75" customHeight="1">
      <c r="A830" s="7"/>
      <c r="B830" s="284"/>
      <c r="C830" s="7"/>
      <c r="D830" s="285"/>
      <c r="E830" s="286"/>
      <c r="F830" s="7"/>
      <c r="G830" s="7"/>
      <c r="H830" s="7"/>
      <c r="I830" s="287"/>
      <c r="J830" s="288"/>
      <c r="K830" s="288"/>
      <c r="L830" s="7"/>
      <c r="M830" s="28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</row>
    <row r="831" ht="18.75" customHeight="1">
      <c r="A831" s="7"/>
      <c r="B831" s="284"/>
      <c r="C831" s="7"/>
      <c r="D831" s="285"/>
      <c r="E831" s="286"/>
      <c r="F831" s="7"/>
      <c r="G831" s="7"/>
      <c r="H831" s="7"/>
      <c r="I831" s="287"/>
      <c r="J831" s="288"/>
      <c r="K831" s="288"/>
      <c r="L831" s="7"/>
      <c r="M831" s="28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</row>
    <row r="832" ht="18.75" customHeight="1">
      <c r="A832" s="7"/>
      <c r="B832" s="284"/>
      <c r="C832" s="7"/>
      <c r="D832" s="285"/>
      <c r="E832" s="286"/>
      <c r="F832" s="7"/>
      <c r="G832" s="7"/>
      <c r="H832" s="7"/>
      <c r="I832" s="287"/>
      <c r="J832" s="288"/>
      <c r="K832" s="288"/>
      <c r="L832" s="7"/>
      <c r="M832" s="28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</row>
    <row r="833" ht="18.75" customHeight="1">
      <c r="A833" s="7"/>
      <c r="B833" s="284"/>
      <c r="C833" s="7"/>
      <c r="D833" s="285"/>
      <c r="E833" s="286"/>
      <c r="F833" s="7"/>
      <c r="G833" s="7"/>
      <c r="H833" s="7"/>
      <c r="I833" s="287"/>
      <c r="J833" s="288"/>
      <c r="K833" s="288"/>
      <c r="L833" s="7"/>
      <c r="M833" s="28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</row>
    <row r="834" ht="18.75" customHeight="1">
      <c r="A834" s="7"/>
      <c r="B834" s="284"/>
      <c r="C834" s="7"/>
      <c r="D834" s="285"/>
      <c r="E834" s="286"/>
      <c r="F834" s="7"/>
      <c r="G834" s="7"/>
      <c r="H834" s="7"/>
      <c r="I834" s="287"/>
      <c r="J834" s="288"/>
      <c r="K834" s="288"/>
      <c r="L834" s="7"/>
      <c r="M834" s="28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</row>
    <row r="835" ht="18.75" customHeight="1">
      <c r="A835" s="7"/>
      <c r="B835" s="284"/>
      <c r="C835" s="7"/>
      <c r="D835" s="285"/>
      <c r="E835" s="286"/>
      <c r="F835" s="7"/>
      <c r="G835" s="7"/>
      <c r="H835" s="7"/>
      <c r="I835" s="287"/>
      <c r="J835" s="288"/>
      <c r="K835" s="288"/>
      <c r="L835" s="7"/>
      <c r="M835" s="28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</row>
    <row r="836" ht="18.75" customHeight="1">
      <c r="A836" s="7"/>
      <c r="B836" s="284"/>
      <c r="C836" s="7"/>
      <c r="D836" s="285"/>
      <c r="E836" s="286"/>
      <c r="F836" s="7"/>
      <c r="G836" s="7"/>
      <c r="H836" s="7"/>
      <c r="I836" s="287"/>
      <c r="J836" s="288"/>
      <c r="K836" s="288"/>
      <c r="L836" s="7"/>
      <c r="M836" s="28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</row>
    <row r="837" ht="18.75" customHeight="1">
      <c r="A837" s="7"/>
      <c r="B837" s="284"/>
      <c r="C837" s="7"/>
      <c r="D837" s="285"/>
      <c r="E837" s="286"/>
      <c r="F837" s="7"/>
      <c r="G837" s="7"/>
      <c r="H837" s="7"/>
      <c r="I837" s="287"/>
      <c r="J837" s="288"/>
      <c r="K837" s="288"/>
      <c r="L837" s="7"/>
      <c r="M837" s="28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</row>
    <row r="838" ht="18.75" customHeight="1">
      <c r="A838" s="7"/>
      <c r="B838" s="284"/>
      <c r="C838" s="7"/>
      <c r="D838" s="285"/>
      <c r="E838" s="286"/>
      <c r="F838" s="7"/>
      <c r="G838" s="7"/>
      <c r="H838" s="7"/>
      <c r="I838" s="287"/>
      <c r="J838" s="288"/>
      <c r="K838" s="288"/>
      <c r="L838" s="7"/>
      <c r="M838" s="28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</row>
    <row r="839" ht="18.75" customHeight="1">
      <c r="A839" s="7"/>
      <c r="B839" s="284"/>
      <c r="C839" s="7"/>
      <c r="D839" s="285"/>
      <c r="E839" s="286"/>
      <c r="F839" s="7"/>
      <c r="G839" s="7"/>
      <c r="H839" s="7"/>
      <c r="I839" s="287"/>
      <c r="J839" s="288"/>
      <c r="K839" s="288"/>
      <c r="L839" s="7"/>
      <c r="M839" s="28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</row>
    <row r="840" ht="18.75" customHeight="1">
      <c r="A840" s="7"/>
      <c r="B840" s="284"/>
      <c r="C840" s="7"/>
      <c r="D840" s="285"/>
      <c r="E840" s="286"/>
      <c r="F840" s="7"/>
      <c r="G840" s="7"/>
      <c r="H840" s="7"/>
      <c r="I840" s="287"/>
      <c r="J840" s="288"/>
      <c r="K840" s="288"/>
      <c r="L840" s="7"/>
      <c r="M840" s="28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</row>
    <row r="841" ht="18.75" customHeight="1">
      <c r="A841" s="7"/>
      <c r="B841" s="284"/>
      <c r="C841" s="7"/>
      <c r="D841" s="285"/>
      <c r="E841" s="286"/>
      <c r="F841" s="7"/>
      <c r="G841" s="7"/>
      <c r="H841" s="7"/>
      <c r="I841" s="287"/>
      <c r="J841" s="288"/>
      <c r="K841" s="288"/>
      <c r="L841" s="7"/>
      <c r="M841" s="28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</row>
    <row r="842" ht="18.75" customHeight="1">
      <c r="A842" s="7"/>
      <c r="B842" s="284"/>
      <c r="C842" s="7"/>
      <c r="D842" s="285"/>
      <c r="E842" s="286"/>
      <c r="F842" s="7"/>
      <c r="G842" s="7"/>
      <c r="H842" s="7"/>
      <c r="I842" s="287"/>
      <c r="J842" s="288"/>
      <c r="K842" s="288"/>
      <c r="L842" s="7"/>
      <c r="M842" s="28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</row>
    <row r="843" ht="18.75" customHeight="1">
      <c r="A843" s="7"/>
      <c r="B843" s="284"/>
      <c r="C843" s="7"/>
      <c r="D843" s="285"/>
      <c r="E843" s="286"/>
      <c r="F843" s="7"/>
      <c r="G843" s="7"/>
      <c r="H843" s="7"/>
      <c r="I843" s="287"/>
      <c r="J843" s="288"/>
      <c r="K843" s="288"/>
      <c r="L843" s="7"/>
      <c r="M843" s="28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</row>
    <row r="844" ht="18.75" customHeight="1">
      <c r="A844" s="7"/>
      <c r="B844" s="284"/>
      <c r="C844" s="7"/>
      <c r="D844" s="285"/>
      <c r="E844" s="286"/>
      <c r="F844" s="7"/>
      <c r="G844" s="7"/>
      <c r="H844" s="7"/>
      <c r="I844" s="287"/>
      <c r="J844" s="288"/>
      <c r="K844" s="288"/>
      <c r="L844" s="7"/>
      <c r="M844" s="28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</row>
    <row r="845" ht="18.75" customHeight="1">
      <c r="A845" s="7"/>
      <c r="B845" s="284"/>
      <c r="C845" s="7"/>
      <c r="D845" s="285"/>
      <c r="E845" s="286"/>
      <c r="F845" s="7"/>
      <c r="G845" s="7"/>
      <c r="H845" s="7"/>
      <c r="I845" s="287"/>
      <c r="J845" s="288"/>
      <c r="K845" s="288"/>
      <c r="L845" s="7"/>
      <c r="M845" s="28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</row>
    <row r="846" ht="18.75" customHeight="1">
      <c r="A846" s="7"/>
      <c r="B846" s="284"/>
      <c r="C846" s="7"/>
      <c r="D846" s="285"/>
      <c r="E846" s="286"/>
      <c r="F846" s="7"/>
      <c r="G846" s="7"/>
      <c r="H846" s="7"/>
      <c r="I846" s="287"/>
      <c r="J846" s="288"/>
      <c r="K846" s="288"/>
      <c r="L846" s="7"/>
      <c r="M846" s="28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</row>
    <row r="847" ht="18.75" customHeight="1">
      <c r="A847" s="7"/>
      <c r="B847" s="284"/>
      <c r="C847" s="7"/>
      <c r="D847" s="285"/>
      <c r="E847" s="286"/>
      <c r="F847" s="7"/>
      <c r="G847" s="7"/>
      <c r="H847" s="7"/>
      <c r="I847" s="287"/>
      <c r="J847" s="288"/>
      <c r="K847" s="288"/>
      <c r="L847" s="7"/>
      <c r="M847" s="28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</row>
    <row r="848" ht="18.75" customHeight="1">
      <c r="A848" s="7"/>
      <c r="B848" s="284"/>
      <c r="C848" s="7"/>
      <c r="D848" s="285"/>
      <c r="E848" s="286"/>
      <c r="F848" s="7"/>
      <c r="G848" s="7"/>
      <c r="H848" s="7"/>
      <c r="I848" s="287"/>
      <c r="J848" s="288"/>
      <c r="K848" s="288"/>
      <c r="L848" s="7"/>
      <c r="M848" s="28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</row>
    <row r="849" ht="18.75" customHeight="1">
      <c r="A849" s="7"/>
      <c r="B849" s="284"/>
      <c r="C849" s="7"/>
      <c r="D849" s="285"/>
      <c r="E849" s="286"/>
      <c r="F849" s="7"/>
      <c r="G849" s="7"/>
      <c r="H849" s="7"/>
      <c r="I849" s="287"/>
      <c r="J849" s="288"/>
      <c r="K849" s="288"/>
      <c r="L849" s="7"/>
      <c r="M849" s="28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</row>
    <row r="850" ht="18.75" customHeight="1">
      <c r="A850" s="7"/>
      <c r="B850" s="284"/>
      <c r="C850" s="7"/>
      <c r="D850" s="285"/>
      <c r="E850" s="286"/>
      <c r="F850" s="7"/>
      <c r="G850" s="7"/>
      <c r="H850" s="7"/>
      <c r="I850" s="287"/>
      <c r="J850" s="288"/>
      <c r="K850" s="288"/>
      <c r="L850" s="7"/>
      <c r="M850" s="28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</row>
    <row r="851" ht="18.75" customHeight="1">
      <c r="A851" s="7"/>
      <c r="B851" s="284"/>
      <c r="C851" s="7"/>
      <c r="D851" s="285"/>
      <c r="E851" s="286"/>
      <c r="F851" s="7"/>
      <c r="G851" s="7"/>
      <c r="H851" s="7"/>
      <c r="I851" s="287"/>
      <c r="J851" s="288"/>
      <c r="K851" s="288"/>
      <c r="L851" s="7"/>
      <c r="M851" s="28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</row>
    <row r="852" ht="18.75" customHeight="1">
      <c r="A852" s="7"/>
      <c r="B852" s="284"/>
      <c r="C852" s="7"/>
      <c r="D852" s="285"/>
      <c r="E852" s="286"/>
      <c r="F852" s="7"/>
      <c r="G852" s="7"/>
      <c r="H852" s="7"/>
      <c r="I852" s="287"/>
      <c r="J852" s="288"/>
      <c r="K852" s="288"/>
      <c r="L852" s="7"/>
      <c r="M852" s="28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</row>
    <row r="853" ht="18.75" customHeight="1">
      <c r="A853" s="7"/>
      <c r="B853" s="284"/>
      <c r="C853" s="7"/>
      <c r="D853" s="285"/>
      <c r="E853" s="286"/>
      <c r="F853" s="7"/>
      <c r="G853" s="7"/>
      <c r="H853" s="7"/>
      <c r="I853" s="287"/>
      <c r="J853" s="288"/>
      <c r="K853" s="288"/>
      <c r="L853" s="7"/>
      <c r="M853" s="28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</row>
    <row r="854" ht="18.75" customHeight="1">
      <c r="A854" s="7"/>
      <c r="B854" s="284"/>
      <c r="C854" s="7"/>
      <c r="D854" s="285"/>
      <c r="E854" s="286"/>
      <c r="F854" s="7"/>
      <c r="G854" s="7"/>
      <c r="H854" s="7"/>
      <c r="I854" s="287"/>
      <c r="J854" s="288"/>
      <c r="K854" s="288"/>
      <c r="L854" s="7"/>
      <c r="M854" s="28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</row>
    <row r="855" ht="18.75" customHeight="1">
      <c r="A855" s="7"/>
      <c r="B855" s="284"/>
      <c r="C855" s="7"/>
      <c r="D855" s="285"/>
      <c r="E855" s="286"/>
      <c r="F855" s="7"/>
      <c r="G855" s="7"/>
      <c r="H855" s="7"/>
      <c r="I855" s="287"/>
      <c r="J855" s="288"/>
      <c r="K855" s="288"/>
      <c r="L855" s="7"/>
      <c r="M855" s="28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</row>
    <row r="856" ht="18.75" customHeight="1">
      <c r="A856" s="7"/>
      <c r="B856" s="284"/>
      <c r="C856" s="7"/>
      <c r="D856" s="285"/>
      <c r="E856" s="286"/>
      <c r="F856" s="7"/>
      <c r="G856" s="7"/>
      <c r="H856" s="7"/>
      <c r="I856" s="287"/>
      <c r="J856" s="288"/>
      <c r="K856" s="288"/>
      <c r="L856" s="7"/>
      <c r="M856" s="28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</row>
    <row r="857" ht="18.75" customHeight="1">
      <c r="A857" s="7"/>
      <c r="B857" s="284"/>
      <c r="C857" s="7"/>
      <c r="D857" s="285"/>
      <c r="E857" s="286"/>
      <c r="F857" s="7"/>
      <c r="G857" s="7"/>
      <c r="H857" s="7"/>
      <c r="I857" s="287"/>
      <c r="J857" s="288"/>
      <c r="K857" s="288"/>
      <c r="L857" s="7"/>
      <c r="M857" s="28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</row>
    <row r="858" ht="18.75" customHeight="1">
      <c r="A858" s="7"/>
      <c r="B858" s="284"/>
      <c r="C858" s="7"/>
      <c r="D858" s="285"/>
      <c r="E858" s="286"/>
      <c r="F858" s="7"/>
      <c r="G858" s="7"/>
      <c r="H858" s="7"/>
      <c r="I858" s="287"/>
      <c r="J858" s="288"/>
      <c r="K858" s="288"/>
      <c r="L858" s="7"/>
      <c r="M858" s="28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</row>
    <row r="859" ht="18.75" customHeight="1">
      <c r="A859" s="7"/>
      <c r="B859" s="284"/>
      <c r="C859" s="7"/>
      <c r="D859" s="285"/>
      <c r="E859" s="286"/>
      <c r="F859" s="7"/>
      <c r="G859" s="7"/>
      <c r="H859" s="7"/>
      <c r="I859" s="287"/>
      <c r="J859" s="288"/>
      <c r="K859" s="288"/>
      <c r="L859" s="7"/>
      <c r="M859" s="28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</row>
    <row r="860" ht="18.75" customHeight="1">
      <c r="A860" s="7"/>
      <c r="B860" s="284"/>
      <c r="C860" s="7"/>
      <c r="D860" s="285"/>
      <c r="E860" s="286"/>
      <c r="F860" s="7"/>
      <c r="G860" s="7"/>
      <c r="H860" s="7"/>
      <c r="I860" s="287"/>
      <c r="J860" s="288"/>
      <c r="K860" s="288"/>
      <c r="L860" s="7"/>
      <c r="M860" s="28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</row>
    <row r="861" ht="18.75" customHeight="1">
      <c r="A861" s="7"/>
      <c r="B861" s="284"/>
      <c r="C861" s="7"/>
      <c r="D861" s="285"/>
      <c r="E861" s="286"/>
      <c r="F861" s="7"/>
      <c r="G861" s="7"/>
      <c r="H861" s="7"/>
      <c r="I861" s="287"/>
      <c r="J861" s="288"/>
      <c r="K861" s="288"/>
      <c r="L861" s="7"/>
      <c r="M861" s="28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</row>
    <row r="862" ht="18.75" customHeight="1">
      <c r="A862" s="7"/>
      <c r="B862" s="284"/>
      <c r="C862" s="7"/>
      <c r="D862" s="285"/>
      <c r="E862" s="286"/>
      <c r="F862" s="7"/>
      <c r="G862" s="7"/>
      <c r="H862" s="7"/>
      <c r="I862" s="287"/>
      <c r="J862" s="288"/>
      <c r="K862" s="288"/>
      <c r="L862" s="7"/>
      <c r="M862" s="28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</row>
    <row r="863" ht="18.75" customHeight="1">
      <c r="A863" s="7"/>
      <c r="B863" s="284"/>
      <c r="C863" s="7"/>
      <c r="D863" s="285"/>
      <c r="E863" s="286"/>
      <c r="F863" s="7"/>
      <c r="G863" s="7"/>
      <c r="H863" s="7"/>
      <c r="I863" s="287"/>
      <c r="J863" s="288"/>
      <c r="K863" s="288"/>
      <c r="L863" s="7"/>
      <c r="M863" s="28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</row>
    <row r="864" ht="18.75" customHeight="1">
      <c r="A864" s="7"/>
      <c r="B864" s="284"/>
      <c r="C864" s="7"/>
      <c r="D864" s="285"/>
      <c r="E864" s="286"/>
      <c r="F864" s="7"/>
      <c r="G864" s="7"/>
      <c r="H864" s="7"/>
      <c r="I864" s="287"/>
      <c r="J864" s="288"/>
      <c r="K864" s="288"/>
      <c r="L864" s="7"/>
      <c r="M864" s="28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</row>
    <row r="865" ht="18.75" customHeight="1">
      <c r="A865" s="7"/>
      <c r="B865" s="284"/>
      <c r="C865" s="7"/>
      <c r="D865" s="285"/>
      <c r="E865" s="286"/>
      <c r="F865" s="7"/>
      <c r="G865" s="7"/>
      <c r="H865" s="7"/>
      <c r="I865" s="287"/>
      <c r="J865" s="288"/>
      <c r="K865" s="288"/>
      <c r="L865" s="7"/>
      <c r="M865" s="28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</row>
    <row r="866" ht="18.75" customHeight="1">
      <c r="A866" s="7"/>
      <c r="B866" s="284"/>
      <c r="C866" s="7"/>
      <c r="D866" s="285"/>
      <c r="E866" s="286"/>
      <c r="F866" s="7"/>
      <c r="G866" s="7"/>
      <c r="H866" s="7"/>
      <c r="I866" s="287"/>
      <c r="J866" s="288"/>
      <c r="K866" s="288"/>
      <c r="L866" s="7"/>
      <c r="M866" s="28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</row>
    <row r="867" ht="18.75" customHeight="1">
      <c r="A867" s="7"/>
      <c r="B867" s="284"/>
      <c r="C867" s="7"/>
      <c r="D867" s="285"/>
      <c r="E867" s="286"/>
      <c r="F867" s="7"/>
      <c r="G867" s="7"/>
      <c r="H867" s="7"/>
      <c r="I867" s="287"/>
      <c r="J867" s="288"/>
      <c r="K867" s="288"/>
      <c r="L867" s="7"/>
      <c r="M867" s="28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</row>
    <row r="868" ht="18.75" customHeight="1">
      <c r="A868" s="7"/>
      <c r="B868" s="284"/>
      <c r="C868" s="7"/>
      <c r="D868" s="285"/>
      <c r="E868" s="286"/>
      <c r="F868" s="7"/>
      <c r="G868" s="7"/>
      <c r="H868" s="7"/>
      <c r="I868" s="287"/>
      <c r="J868" s="288"/>
      <c r="K868" s="288"/>
      <c r="L868" s="7"/>
      <c r="M868" s="28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</row>
    <row r="869" ht="18.75" customHeight="1">
      <c r="A869" s="7"/>
      <c r="B869" s="284"/>
      <c r="C869" s="7"/>
      <c r="D869" s="285"/>
      <c r="E869" s="286"/>
      <c r="F869" s="7"/>
      <c r="G869" s="7"/>
      <c r="H869" s="7"/>
      <c r="I869" s="287"/>
      <c r="J869" s="288"/>
      <c r="K869" s="288"/>
      <c r="L869" s="7"/>
      <c r="M869" s="28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</row>
    <row r="870" ht="18.75" customHeight="1">
      <c r="A870" s="7"/>
      <c r="B870" s="284"/>
      <c r="C870" s="7"/>
      <c r="D870" s="285"/>
      <c r="E870" s="286"/>
      <c r="F870" s="7"/>
      <c r="G870" s="7"/>
      <c r="H870" s="7"/>
      <c r="I870" s="287"/>
      <c r="J870" s="288"/>
      <c r="K870" s="288"/>
      <c r="L870" s="7"/>
      <c r="M870" s="28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</row>
    <row r="871" ht="18.75" customHeight="1">
      <c r="A871" s="7"/>
      <c r="B871" s="284"/>
      <c r="C871" s="7"/>
      <c r="D871" s="285"/>
      <c r="E871" s="286"/>
      <c r="F871" s="7"/>
      <c r="G871" s="7"/>
      <c r="H871" s="7"/>
      <c r="I871" s="287"/>
      <c r="J871" s="288"/>
      <c r="K871" s="288"/>
      <c r="L871" s="7"/>
      <c r="M871" s="28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</row>
    <row r="872" ht="18.75" customHeight="1">
      <c r="A872" s="7"/>
      <c r="B872" s="284"/>
      <c r="C872" s="7"/>
      <c r="D872" s="285"/>
      <c r="E872" s="286"/>
      <c r="F872" s="7"/>
      <c r="G872" s="7"/>
      <c r="H872" s="7"/>
      <c r="I872" s="287"/>
      <c r="J872" s="288"/>
      <c r="K872" s="288"/>
      <c r="L872" s="7"/>
      <c r="M872" s="28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</row>
    <row r="873" ht="18.75" customHeight="1">
      <c r="A873" s="7"/>
      <c r="B873" s="284"/>
      <c r="C873" s="7"/>
      <c r="D873" s="285"/>
      <c r="E873" s="286"/>
      <c r="F873" s="7"/>
      <c r="G873" s="7"/>
      <c r="H873" s="7"/>
      <c r="I873" s="287"/>
      <c r="J873" s="288"/>
      <c r="K873" s="288"/>
      <c r="L873" s="7"/>
      <c r="M873" s="28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</row>
    <row r="874" ht="18.75" customHeight="1">
      <c r="A874" s="7"/>
      <c r="B874" s="284"/>
      <c r="C874" s="7"/>
      <c r="D874" s="285"/>
      <c r="E874" s="286"/>
      <c r="F874" s="7"/>
      <c r="G874" s="7"/>
      <c r="H874" s="7"/>
      <c r="I874" s="287"/>
      <c r="J874" s="288"/>
      <c r="K874" s="288"/>
      <c r="L874" s="7"/>
      <c r="M874" s="28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</row>
    <row r="875" ht="18.75" customHeight="1">
      <c r="A875" s="7"/>
      <c r="B875" s="284"/>
      <c r="C875" s="7"/>
      <c r="D875" s="285"/>
      <c r="E875" s="286"/>
      <c r="F875" s="7"/>
      <c r="G875" s="7"/>
      <c r="H875" s="7"/>
      <c r="I875" s="287"/>
      <c r="J875" s="288"/>
      <c r="K875" s="288"/>
      <c r="L875" s="7"/>
      <c r="M875" s="28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</row>
    <row r="876" ht="18.75" customHeight="1">
      <c r="A876" s="7"/>
      <c r="B876" s="284"/>
      <c r="C876" s="7"/>
      <c r="D876" s="285"/>
      <c r="E876" s="286"/>
      <c r="F876" s="7"/>
      <c r="G876" s="7"/>
      <c r="H876" s="7"/>
      <c r="I876" s="287"/>
      <c r="J876" s="288"/>
      <c r="K876" s="288"/>
      <c r="L876" s="7"/>
      <c r="M876" s="28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</row>
    <row r="877" ht="18.75" customHeight="1">
      <c r="A877" s="7"/>
      <c r="B877" s="284"/>
      <c r="C877" s="7"/>
      <c r="D877" s="285"/>
      <c r="E877" s="286"/>
      <c r="F877" s="7"/>
      <c r="G877" s="7"/>
      <c r="H877" s="7"/>
      <c r="I877" s="287"/>
      <c r="J877" s="288"/>
      <c r="K877" s="288"/>
      <c r="L877" s="7"/>
      <c r="M877" s="28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</row>
    <row r="878" ht="18.75" customHeight="1">
      <c r="A878" s="7"/>
      <c r="B878" s="284"/>
      <c r="C878" s="7"/>
      <c r="D878" s="285"/>
      <c r="E878" s="286"/>
      <c r="F878" s="7"/>
      <c r="G878" s="7"/>
      <c r="H878" s="7"/>
      <c r="I878" s="287"/>
      <c r="J878" s="288"/>
      <c r="K878" s="288"/>
      <c r="L878" s="7"/>
      <c r="M878" s="28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</row>
    <row r="879" ht="18.75" customHeight="1">
      <c r="A879" s="7"/>
      <c r="B879" s="284"/>
      <c r="C879" s="7"/>
      <c r="D879" s="285"/>
      <c r="E879" s="286"/>
      <c r="F879" s="7"/>
      <c r="G879" s="7"/>
      <c r="H879" s="7"/>
      <c r="I879" s="287"/>
      <c r="J879" s="288"/>
      <c r="K879" s="288"/>
      <c r="L879" s="7"/>
      <c r="M879" s="28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</row>
    <row r="880" ht="18.75" customHeight="1">
      <c r="A880" s="7"/>
      <c r="B880" s="284"/>
      <c r="C880" s="7"/>
      <c r="D880" s="285"/>
      <c r="E880" s="286"/>
      <c r="F880" s="7"/>
      <c r="G880" s="7"/>
      <c r="H880" s="7"/>
      <c r="I880" s="287"/>
      <c r="J880" s="288"/>
      <c r="K880" s="288"/>
      <c r="L880" s="7"/>
      <c r="M880" s="28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</row>
    <row r="881" ht="18.75" customHeight="1">
      <c r="A881" s="7"/>
      <c r="B881" s="284"/>
      <c r="C881" s="7"/>
      <c r="D881" s="285"/>
      <c r="E881" s="286"/>
      <c r="F881" s="7"/>
      <c r="G881" s="7"/>
      <c r="H881" s="7"/>
      <c r="I881" s="287"/>
      <c r="J881" s="288"/>
      <c r="K881" s="288"/>
      <c r="L881" s="7"/>
      <c r="M881" s="28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</row>
    <row r="882" ht="18.75" customHeight="1">
      <c r="A882" s="7"/>
      <c r="B882" s="284"/>
      <c r="C882" s="7"/>
      <c r="D882" s="285"/>
      <c r="E882" s="286"/>
      <c r="F882" s="7"/>
      <c r="G882" s="7"/>
      <c r="H882" s="7"/>
      <c r="I882" s="287"/>
      <c r="J882" s="288"/>
      <c r="K882" s="288"/>
      <c r="L882" s="7"/>
      <c r="M882" s="28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</row>
    <row r="883" ht="18.75" customHeight="1">
      <c r="A883" s="7"/>
      <c r="B883" s="284"/>
      <c r="C883" s="7"/>
      <c r="D883" s="285"/>
      <c r="E883" s="286"/>
      <c r="F883" s="7"/>
      <c r="G883" s="7"/>
      <c r="H883" s="7"/>
      <c r="I883" s="287"/>
      <c r="J883" s="288"/>
      <c r="K883" s="288"/>
      <c r="L883" s="7"/>
      <c r="M883" s="28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</row>
    <row r="884" ht="18.75" customHeight="1">
      <c r="A884" s="7"/>
      <c r="B884" s="284"/>
      <c r="C884" s="7"/>
      <c r="D884" s="285"/>
      <c r="E884" s="286"/>
      <c r="F884" s="7"/>
      <c r="G884" s="7"/>
      <c r="H884" s="7"/>
      <c r="I884" s="287"/>
      <c r="J884" s="288"/>
      <c r="K884" s="288"/>
      <c r="L884" s="7"/>
      <c r="M884" s="28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</row>
    <row r="885" ht="18.75" customHeight="1">
      <c r="A885" s="7"/>
      <c r="B885" s="284"/>
      <c r="C885" s="7"/>
      <c r="D885" s="285"/>
      <c r="E885" s="286"/>
      <c r="F885" s="7"/>
      <c r="G885" s="7"/>
      <c r="H885" s="7"/>
      <c r="I885" s="287"/>
      <c r="J885" s="288"/>
      <c r="K885" s="288"/>
      <c r="L885" s="7"/>
      <c r="M885" s="28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</row>
    <row r="886" ht="18.75" customHeight="1">
      <c r="A886" s="7"/>
      <c r="B886" s="284"/>
      <c r="C886" s="7"/>
      <c r="D886" s="285"/>
      <c r="E886" s="286"/>
      <c r="F886" s="7"/>
      <c r="G886" s="7"/>
      <c r="H886" s="7"/>
      <c r="I886" s="287"/>
      <c r="J886" s="288"/>
      <c r="K886" s="288"/>
      <c r="L886" s="7"/>
      <c r="M886" s="28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</row>
    <row r="887" ht="18.75" customHeight="1">
      <c r="A887" s="7"/>
      <c r="B887" s="284"/>
      <c r="C887" s="7"/>
      <c r="D887" s="285"/>
      <c r="E887" s="286"/>
      <c r="F887" s="7"/>
      <c r="G887" s="7"/>
      <c r="H887" s="7"/>
      <c r="I887" s="287"/>
      <c r="J887" s="288"/>
      <c r="K887" s="288"/>
      <c r="L887" s="7"/>
      <c r="M887" s="28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</row>
    <row r="888" ht="18.75" customHeight="1">
      <c r="A888" s="7"/>
      <c r="B888" s="284"/>
      <c r="C888" s="7"/>
      <c r="D888" s="285"/>
      <c r="E888" s="286"/>
      <c r="F888" s="7"/>
      <c r="G888" s="7"/>
      <c r="H888" s="7"/>
      <c r="I888" s="287"/>
      <c r="J888" s="288"/>
      <c r="K888" s="288"/>
      <c r="L888" s="7"/>
      <c r="M888" s="28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</row>
    <row r="889" ht="18.75" customHeight="1">
      <c r="A889" s="7"/>
      <c r="B889" s="284"/>
      <c r="C889" s="7"/>
      <c r="D889" s="285"/>
      <c r="E889" s="286"/>
      <c r="F889" s="7"/>
      <c r="G889" s="7"/>
      <c r="H889" s="7"/>
      <c r="I889" s="287"/>
      <c r="J889" s="288"/>
      <c r="K889" s="288"/>
      <c r="L889" s="7"/>
      <c r="M889" s="28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</row>
    <row r="890" ht="18.75" customHeight="1">
      <c r="A890" s="7"/>
      <c r="B890" s="284"/>
      <c r="C890" s="7"/>
      <c r="D890" s="285"/>
      <c r="E890" s="286"/>
      <c r="F890" s="7"/>
      <c r="G890" s="7"/>
      <c r="H890" s="7"/>
      <c r="I890" s="287"/>
      <c r="J890" s="288"/>
      <c r="K890" s="288"/>
      <c r="L890" s="7"/>
      <c r="M890" s="28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</row>
    <row r="891" ht="18.75" customHeight="1">
      <c r="A891" s="7"/>
      <c r="B891" s="284"/>
      <c r="C891" s="7"/>
      <c r="D891" s="285"/>
      <c r="E891" s="286"/>
      <c r="F891" s="7"/>
      <c r="G891" s="7"/>
      <c r="H891" s="7"/>
      <c r="I891" s="287"/>
      <c r="J891" s="288"/>
      <c r="K891" s="288"/>
      <c r="L891" s="7"/>
      <c r="M891" s="28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</row>
    <row r="892" ht="18.75" customHeight="1">
      <c r="A892" s="7"/>
      <c r="B892" s="284"/>
      <c r="C892" s="7"/>
      <c r="D892" s="285"/>
      <c r="E892" s="286"/>
      <c r="F892" s="7"/>
      <c r="G892" s="7"/>
      <c r="H892" s="7"/>
      <c r="I892" s="287"/>
      <c r="J892" s="288"/>
      <c r="K892" s="288"/>
      <c r="L892" s="7"/>
      <c r="M892" s="28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</row>
    <row r="893" ht="18.75" customHeight="1">
      <c r="A893" s="7"/>
      <c r="B893" s="284"/>
      <c r="C893" s="7"/>
      <c r="D893" s="285"/>
      <c r="E893" s="286"/>
      <c r="F893" s="7"/>
      <c r="G893" s="7"/>
      <c r="H893" s="7"/>
      <c r="I893" s="287"/>
      <c r="J893" s="288"/>
      <c r="K893" s="288"/>
      <c r="L893" s="7"/>
      <c r="M893" s="28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</row>
    <row r="894" ht="18.75" customHeight="1">
      <c r="A894" s="7"/>
      <c r="B894" s="284"/>
      <c r="C894" s="7"/>
      <c r="D894" s="285"/>
      <c r="E894" s="286"/>
      <c r="F894" s="7"/>
      <c r="G894" s="7"/>
      <c r="H894" s="7"/>
      <c r="I894" s="287"/>
      <c r="J894" s="288"/>
      <c r="K894" s="288"/>
      <c r="L894" s="7"/>
      <c r="M894" s="28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</row>
    <row r="895" ht="18.75" customHeight="1">
      <c r="A895" s="7"/>
      <c r="B895" s="284"/>
      <c r="C895" s="7"/>
      <c r="D895" s="285"/>
      <c r="E895" s="286"/>
      <c r="F895" s="7"/>
      <c r="G895" s="7"/>
      <c r="H895" s="7"/>
      <c r="I895" s="287"/>
      <c r="J895" s="288"/>
      <c r="K895" s="288"/>
      <c r="L895" s="7"/>
      <c r="M895" s="28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</row>
    <row r="896" ht="18.75" customHeight="1">
      <c r="A896" s="7"/>
      <c r="B896" s="284"/>
      <c r="C896" s="7"/>
      <c r="D896" s="285"/>
      <c r="E896" s="286"/>
      <c r="F896" s="7"/>
      <c r="G896" s="7"/>
      <c r="H896" s="7"/>
      <c r="I896" s="287"/>
      <c r="J896" s="288"/>
      <c r="K896" s="288"/>
      <c r="L896" s="7"/>
      <c r="M896" s="28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</row>
    <row r="897" ht="18.75" customHeight="1">
      <c r="A897" s="7"/>
      <c r="B897" s="284"/>
      <c r="C897" s="7"/>
      <c r="D897" s="285"/>
      <c r="E897" s="286"/>
      <c r="F897" s="7"/>
      <c r="G897" s="7"/>
      <c r="H897" s="7"/>
      <c r="I897" s="287"/>
      <c r="J897" s="288"/>
      <c r="K897" s="288"/>
      <c r="L897" s="7"/>
      <c r="M897" s="28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</row>
    <row r="898" ht="18.75" customHeight="1">
      <c r="A898" s="7"/>
      <c r="B898" s="284"/>
      <c r="C898" s="7"/>
      <c r="D898" s="285"/>
      <c r="E898" s="286"/>
      <c r="F898" s="7"/>
      <c r="G898" s="7"/>
      <c r="H898" s="7"/>
      <c r="I898" s="287"/>
      <c r="J898" s="288"/>
      <c r="K898" s="288"/>
      <c r="L898" s="7"/>
      <c r="M898" s="28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</row>
    <row r="899" ht="18.75" customHeight="1">
      <c r="A899" s="7"/>
      <c r="B899" s="284"/>
      <c r="C899" s="7"/>
      <c r="D899" s="285"/>
      <c r="E899" s="286"/>
      <c r="F899" s="7"/>
      <c r="G899" s="7"/>
      <c r="H899" s="7"/>
      <c r="I899" s="287"/>
      <c r="J899" s="288"/>
      <c r="K899" s="288"/>
      <c r="L899" s="7"/>
      <c r="M899" s="28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</row>
    <row r="900" ht="18.75" customHeight="1">
      <c r="A900" s="7"/>
      <c r="B900" s="284"/>
      <c r="C900" s="7"/>
      <c r="D900" s="285"/>
      <c r="E900" s="286"/>
      <c r="F900" s="7"/>
      <c r="G900" s="7"/>
      <c r="H900" s="7"/>
      <c r="I900" s="287"/>
      <c r="J900" s="288"/>
      <c r="K900" s="288"/>
      <c r="L900" s="7"/>
      <c r="M900" s="28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</row>
    <row r="901" ht="18.75" customHeight="1">
      <c r="A901" s="7"/>
      <c r="B901" s="284"/>
      <c r="C901" s="7"/>
      <c r="D901" s="285"/>
      <c r="E901" s="286"/>
      <c r="F901" s="7"/>
      <c r="G901" s="7"/>
      <c r="H901" s="7"/>
      <c r="I901" s="287"/>
      <c r="J901" s="288"/>
      <c r="K901" s="288"/>
      <c r="L901" s="7"/>
      <c r="M901" s="28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</row>
    <row r="902" ht="18.75" customHeight="1">
      <c r="A902" s="7"/>
      <c r="B902" s="284"/>
      <c r="C902" s="7"/>
      <c r="D902" s="285"/>
      <c r="E902" s="286"/>
      <c r="F902" s="7"/>
      <c r="G902" s="7"/>
      <c r="H902" s="7"/>
      <c r="I902" s="287"/>
      <c r="J902" s="288"/>
      <c r="K902" s="288"/>
      <c r="L902" s="7"/>
      <c r="M902" s="28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</row>
    <row r="903" ht="18.75" customHeight="1">
      <c r="A903" s="7"/>
      <c r="B903" s="284"/>
      <c r="C903" s="7"/>
      <c r="D903" s="285"/>
      <c r="E903" s="286"/>
      <c r="F903" s="7"/>
      <c r="G903" s="7"/>
      <c r="H903" s="7"/>
      <c r="I903" s="287"/>
      <c r="J903" s="288"/>
      <c r="K903" s="288"/>
      <c r="L903" s="7"/>
      <c r="M903" s="28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</row>
    <row r="904" ht="18.75" customHeight="1">
      <c r="A904" s="7"/>
      <c r="B904" s="284"/>
      <c r="C904" s="7"/>
      <c r="D904" s="285"/>
      <c r="E904" s="286"/>
      <c r="F904" s="7"/>
      <c r="G904" s="7"/>
      <c r="H904" s="7"/>
      <c r="I904" s="287"/>
      <c r="J904" s="288"/>
      <c r="K904" s="288"/>
      <c r="L904" s="7"/>
      <c r="M904" s="28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</row>
    <row r="905" ht="18.75" customHeight="1">
      <c r="A905" s="7"/>
      <c r="B905" s="284"/>
      <c r="C905" s="7"/>
      <c r="D905" s="285"/>
      <c r="E905" s="286"/>
      <c r="F905" s="7"/>
      <c r="G905" s="7"/>
      <c r="H905" s="7"/>
      <c r="I905" s="287"/>
      <c r="J905" s="288"/>
      <c r="K905" s="288"/>
      <c r="L905" s="7"/>
      <c r="M905" s="28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</row>
    <row r="906" ht="18.75" customHeight="1">
      <c r="A906" s="7"/>
      <c r="B906" s="284"/>
      <c r="C906" s="7"/>
      <c r="D906" s="285"/>
      <c r="E906" s="286"/>
      <c r="F906" s="7"/>
      <c r="G906" s="7"/>
      <c r="H906" s="7"/>
      <c r="I906" s="287"/>
      <c r="J906" s="288"/>
      <c r="K906" s="288"/>
      <c r="L906" s="7"/>
      <c r="M906" s="28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</row>
    <row r="907" ht="18.75" customHeight="1">
      <c r="A907" s="7"/>
      <c r="B907" s="284"/>
      <c r="C907" s="7"/>
      <c r="D907" s="285"/>
      <c r="E907" s="286"/>
      <c r="F907" s="7"/>
      <c r="G907" s="7"/>
      <c r="H907" s="7"/>
      <c r="I907" s="287"/>
      <c r="J907" s="288"/>
      <c r="K907" s="288"/>
      <c r="L907" s="7"/>
      <c r="M907" s="28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</row>
    <row r="908" ht="18.75" customHeight="1">
      <c r="A908" s="7"/>
      <c r="B908" s="284"/>
      <c r="C908" s="7"/>
      <c r="D908" s="285"/>
      <c r="E908" s="286"/>
      <c r="F908" s="7"/>
      <c r="G908" s="7"/>
      <c r="H908" s="7"/>
      <c r="I908" s="287"/>
      <c r="J908" s="288"/>
      <c r="K908" s="288"/>
      <c r="L908" s="7"/>
      <c r="M908" s="28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</row>
    <row r="909" ht="18.75" customHeight="1">
      <c r="A909" s="7"/>
      <c r="B909" s="284"/>
      <c r="C909" s="7"/>
      <c r="D909" s="285"/>
      <c r="E909" s="286"/>
      <c r="F909" s="7"/>
      <c r="G909" s="7"/>
      <c r="H909" s="7"/>
      <c r="I909" s="287"/>
      <c r="J909" s="288"/>
      <c r="K909" s="288"/>
      <c r="L909" s="7"/>
      <c r="M909" s="28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</row>
    <row r="910" ht="18.75" customHeight="1">
      <c r="A910" s="7"/>
      <c r="B910" s="284"/>
      <c r="C910" s="7"/>
      <c r="D910" s="285"/>
      <c r="E910" s="286"/>
      <c r="F910" s="7"/>
      <c r="G910" s="7"/>
      <c r="H910" s="7"/>
      <c r="I910" s="287"/>
      <c r="J910" s="288"/>
      <c r="K910" s="288"/>
      <c r="L910" s="7"/>
      <c r="M910" s="28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</row>
    <row r="911" ht="18.75" customHeight="1">
      <c r="A911" s="7"/>
      <c r="B911" s="284"/>
      <c r="C911" s="7"/>
      <c r="D911" s="285"/>
      <c r="E911" s="286"/>
      <c r="F911" s="7"/>
      <c r="G911" s="7"/>
      <c r="H911" s="7"/>
      <c r="I911" s="287"/>
      <c r="J911" s="288"/>
      <c r="K911" s="288"/>
      <c r="L911" s="7"/>
      <c r="M911" s="28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</row>
    <row r="912" ht="18.75" customHeight="1">
      <c r="A912" s="7"/>
      <c r="B912" s="284"/>
      <c r="C912" s="7"/>
      <c r="D912" s="285"/>
      <c r="E912" s="286"/>
      <c r="F912" s="7"/>
      <c r="G912" s="7"/>
      <c r="H912" s="7"/>
      <c r="I912" s="287"/>
      <c r="J912" s="288"/>
      <c r="K912" s="288"/>
      <c r="L912" s="7"/>
      <c r="M912" s="28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</row>
    <row r="913" ht="18.75" customHeight="1">
      <c r="A913" s="7"/>
      <c r="B913" s="284"/>
      <c r="C913" s="7"/>
      <c r="D913" s="285"/>
      <c r="E913" s="286"/>
      <c r="F913" s="7"/>
      <c r="G913" s="7"/>
      <c r="H913" s="7"/>
      <c r="I913" s="287"/>
      <c r="J913" s="288"/>
      <c r="K913" s="288"/>
      <c r="L913" s="7"/>
      <c r="M913" s="28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</row>
    <row r="914" ht="18.75" customHeight="1">
      <c r="A914" s="7"/>
      <c r="B914" s="284"/>
      <c r="C914" s="7"/>
      <c r="D914" s="285"/>
      <c r="E914" s="286"/>
      <c r="F914" s="7"/>
      <c r="G914" s="7"/>
      <c r="H914" s="7"/>
      <c r="I914" s="287"/>
      <c r="J914" s="288"/>
      <c r="K914" s="288"/>
      <c r="L914" s="7"/>
      <c r="M914" s="28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</row>
    <row r="915" ht="18.75" customHeight="1">
      <c r="A915" s="7"/>
      <c r="B915" s="284"/>
      <c r="C915" s="7"/>
      <c r="D915" s="285"/>
      <c r="E915" s="286"/>
      <c r="F915" s="7"/>
      <c r="G915" s="7"/>
      <c r="H915" s="7"/>
      <c r="I915" s="287"/>
      <c r="J915" s="288"/>
      <c r="K915" s="288"/>
      <c r="L915" s="7"/>
      <c r="M915" s="28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</row>
    <row r="916" ht="18.75" customHeight="1">
      <c r="A916" s="7"/>
      <c r="B916" s="284"/>
      <c r="C916" s="7"/>
      <c r="D916" s="285"/>
      <c r="E916" s="286"/>
      <c r="F916" s="7"/>
      <c r="G916" s="7"/>
      <c r="H916" s="7"/>
      <c r="I916" s="287"/>
      <c r="J916" s="288"/>
      <c r="K916" s="288"/>
      <c r="L916" s="7"/>
      <c r="M916" s="28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</row>
    <row r="917" ht="18.75" customHeight="1">
      <c r="A917" s="7"/>
      <c r="B917" s="284"/>
      <c r="C917" s="7"/>
      <c r="D917" s="285"/>
      <c r="E917" s="286"/>
      <c r="F917" s="7"/>
      <c r="G917" s="7"/>
      <c r="H917" s="7"/>
      <c r="I917" s="287"/>
      <c r="J917" s="288"/>
      <c r="K917" s="288"/>
      <c r="L917" s="7"/>
      <c r="M917" s="28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</row>
    <row r="918" ht="18.75" customHeight="1">
      <c r="A918" s="7"/>
      <c r="B918" s="284"/>
      <c r="C918" s="7"/>
      <c r="D918" s="285"/>
      <c r="E918" s="286"/>
      <c r="F918" s="7"/>
      <c r="G918" s="7"/>
      <c r="H918" s="7"/>
      <c r="I918" s="287"/>
      <c r="J918" s="288"/>
      <c r="K918" s="288"/>
      <c r="L918" s="7"/>
      <c r="M918" s="28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</row>
    <row r="919" ht="18.75" customHeight="1">
      <c r="A919" s="7"/>
      <c r="B919" s="284"/>
      <c r="C919" s="7"/>
      <c r="D919" s="285"/>
      <c r="E919" s="286"/>
      <c r="F919" s="7"/>
      <c r="G919" s="7"/>
      <c r="H919" s="7"/>
      <c r="I919" s="287"/>
      <c r="J919" s="288"/>
      <c r="K919" s="288"/>
      <c r="L919" s="7"/>
      <c r="M919" s="28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</row>
    <row r="920" ht="18.75" customHeight="1">
      <c r="A920" s="7"/>
      <c r="B920" s="284"/>
      <c r="C920" s="7"/>
      <c r="D920" s="285"/>
      <c r="E920" s="286"/>
      <c r="F920" s="7"/>
      <c r="G920" s="7"/>
      <c r="H920" s="7"/>
      <c r="I920" s="287"/>
      <c r="J920" s="288"/>
      <c r="K920" s="288"/>
      <c r="L920" s="7"/>
      <c r="M920" s="28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</row>
    <row r="921" ht="18.75" customHeight="1">
      <c r="A921" s="7"/>
      <c r="B921" s="284"/>
      <c r="C921" s="7"/>
      <c r="D921" s="285"/>
      <c r="E921" s="286"/>
      <c r="F921" s="7"/>
      <c r="G921" s="7"/>
      <c r="H921" s="7"/>
      <c r="I921" s="287"/>
      <c r="J921" s="288"/>
      <c r="K921" s="288"/>
      <c r="L921" s="7"/>
      <c r="M921" s="28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</row>
    <row r="922" ht="18.75" customHeight="1">
      <c r="A922" s="7"/>
      <c r="B922" s="284"/>
      <c r="C922" s="7"/>
      <c r="D922" s="285"/>
      <c r="E922" s="286"/>
      <c r="F922" s="7"/>
      <c r="G922" s="7"/>
      <c r="H922" s="7"/>
      <c r="I922" s="287"/>
      <c r="J922" s="288"/>
      <c r="K922" s="288"/>
      <c r="L922" s="7"/>
      <c r="M922" s="28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</row>
    <row r="923" ht="18.75" customHeight="1">
      <c r="A923" s="7"/>
      <c r="B923" s="284"/>
      <c r="C923" s="7"/>
      <c r="D923" s="285"/>
      <c r="E923" s="286"/>
      <c r="F923" s="7"/>
      <c r="G923" s="7"/>
      <c r="H923" s="7"/>
      <c r="I923" s="287"/>
      <c r="J923" s="288"/>
      <c r="K923" s="288"/>
      <c r="L923" s="7"/>
      <c r="M923" s="28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</row>
    <row r="924" ht="18.75" customHeight="1">
      <c r="A924" s="7"/>
      <c r="B924" s="284"/>
      <c r="C924" s="7"/>
      <c r="D924" s="285"/>
      <c r="E924" s="286"/>
      <c r="F924" s="7"/>
      <c r="G924" s="7"/>
      <c r="H924" s="7"/>
      <c r="I924" s="287"/>
      <c r="J924" s="288"/>
      <c r="K924" s="288"/>
      <c r="L924" s="7"/>
      <c r="M924" s="28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</row>
    <row r="925" ht="18.75" customHeight="1">
      <c r="A925" s="7"/>
      <c r="B925" s="284"/>
      <c r="C925" s="7"/>
      <c r="D925" s="285"/>
      <c r="E925" s="286"/>
      <c r="F925" s="7"/>
      <c r="G925" s="7"/>
      <c r="H925" s="7"/>
      <c r="I925" s="287"/>
      <c r="J925" s="288"/>
      <c r="K925" s="288"/>
      <c r="L925" s="7"/>
      <c r="M925" s="28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</row>
    <row r="926" ht="18.75" customHeight="1">
      <c r="A926" s="7"/>
      <c r="B926" s="284"/>
      <c r="C926" s="7"/>
      <c r="D926" s="285"/>
      <c r="E926" s="286"/>
      <c r="F926" s="7"/>
      <c r="G926" s="7"/>
      <c r="H926" s="7"/>
      <c r="I926" s="287"/>
      <c r="J926" s="288"/>
      <c r="K926" s="288"/>
      <c r="L926" s="7"/>
      <c r="M926" s="28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</row>
    <row r="927" ht="18.75" customHeight="1">
      <c r="A927" s="7"/>
      <c r="B927" s="284"/>
      <c r="C927" s="7"/>
      <c r="D927" s="285"/>
      <c r="E927" s="286"/>
      <c r="F927" s="7"/>
      <c r="G927" s="7"/>
      <c r="H927" s="7"/>
      <c r="I927" s="287"/>
      <c r="J927" s="288"/>
      <c r="K927" s="288"/>
      <c r="L927" s="7"/>
      <c r="M927" s="28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</row>
    <row r="928" ht="18.75" customHeight="1">
      <c r="A928" s="7"/>
      <c r="B928" s="284"/>
      <c r="C928" s="7"/>
      <c r="D928" s="285"/>
      <c r="E928" s="286"/>
      <c r="F928" s="7"/>
      <c r="G928" s="7"/>
      <c r="H928" s="7"/>
      <c r="I928" s="287"/>
      <c r="J928" s="288"/>
      <c r="K928" s="288"/>
      <c r="L928" s="7"/>
      <c r="M928" s="28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</row>
    <row r="929" ht="18.75" customHeight="1">
      <c r="A929" s="7"/>
      <c r="B929" s="284"/>
      <c r="C929" s="7"/>
      <c r="D929" s="285"/>
      <c r="E929" s="286"/>
      <c r="F929" s="7"/>
      <c r="G929" s="7"/>
      <c r="H929" s="7"/>
      <c r="I929" s="287"/>
      <c r="J929" s="288"/>
      <c r="K929" s="288"/>
      <c r="L929" s="7"/>
      <c r="M929" s="28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</row>
    <row r="930" ht="18.75" customHeight="1">
      <c r="A930" s="7"/>
      <c r="B930" s="284"/>
      <c r="C930" s="7"/>
      <c r="D930" s="285"/>
      <c r="E930" s="286"/>
      <c r="F930" s="7"/>
      <c r="G930" s="7"/>
      <c r="H930" s="7"/>
      <c r="I930" s="287"/>
      <c r="J930" s="288"/>
      <c r="K930" s="288"/>
      <c r="L930" s="7"/>
      <c r="M930" s="28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</row>
    <row r="931" ht="18.75" customHeight="1">
      <c r="A931" s="7"/>
      <c r="B931" s="284"/>
      <c r="C931" s="7"/>
      <c r="D931" s="285"/>
      <c r="E931" s="286"/>
      <c r="F931" s="7"/>
      <c r="G931" s="7"/>
      <c r="H931" s="7"/>
      <c r="I931" s="287"/>
      <c r="J931" s="288"/>
      <c r="K931" s="288"/>
      <c r="L931" s="7"/>
      <c r="M931" s="28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</row>
    <row r="932" ht="18.75" customHeight="1">
      <c r="A932" s="7"/>
      <c r="B932" s="284"/>
      <c r="C932" s="7"/>
      <c r="D932" s="285"/>
      <c r="E932" s="286"/>
      <c r="F932" s="7"/>
      <c r="G932" s="7"/>
      <c r="H932" s="7"/>
      <c r="I932" s="287"/>
      <c r="J932" s="288"/>
      <c r="K932" s="288"/>
      <c r="L932" s="7"/>
      <c r="M932" s="28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</row>
    <row r="933" ht="18.75" customHeight="1">
      <c r="A933" s="7"/>
      <c r="B933" s="284"/>
      <c r="C933" s="7"/>
      <c r="D933" s="285"/>
      <c r="E933" s="286"/>
      <c r="F933" s="7"/>
      <c r="G933" s="7"/>
      <c r="H933" s="7"/>
      <c r="I933" s="287"/>
      <c r="J933" s="288"/>
      <c r="K933" s="288"/>
      <c r="L933" s="7"/>
      <c r="M933" s="28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</row>
    <row r="934" ht="18.75" customHeight="1">
      <c r="A934" s="7"/>
      <c r="B934" s="284"/>
      <c r="C934" s="7"/>
      <c r="D934" s="285"/>
      <c r="E934" s="286"/>
      <c r="F934" s="7"/>
      <c r="G934" s="7"/>
      <c r="H934" s="7"/>
      <c r="I934" s="287"/>
      <c r="J934" s="288"/>
      <c r="K934" s="288"/>
      <c r="L934" s="7"/>
      <c r="M934" s="28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</row>
    <row r="935" ht="18.75" customHeight="1">
      <c r="A935" s="7"/>
      <c r="B935" s="284"/>
      <c r="C935" s="7"/>
      <c r="D935" s="285"/>
      <c r="E935" s="286"/>
      <c r="F935" s="7"/>
      <c r="G935" s="7"/>
      <c r="H935" s="7"/>
      <c r="I935" s="287"/>
      <c r="J935" s="288"/>
      <c r="K935" s="288"/>
      <c r="L935" s="7"/>
      <c r="M935" s="28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</row>
    <row r="936" ht="18.75" customHeight="1">
      <c r="A936" s="7"/>
      <c r="B936" s="284"/>
      <c r="C936" s="7"/>
      <c r="D936" s="285"/>
      <c r="E936" s="286"/>
      <c r="F936" s="7"/>
      <c r="G936" s="7"/>
      <c r="H936" s="7"/>
      <c r="I936" s="287"/>
      <c r="J936" s="288"/>
      <c r="K936" s="288"/>
      <c r="L936" s="7"/>
      <c r="M936" s="28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</row>
    <row r="937" ht="18.75" customHeight="1">
      <c r="A937" s="7"/>
      <c r="B937" s="284"/>
      <c r="C937" s="7"/>
      <c r="D937" s="285"/>
      <c r="E937" s="286"/>
      <c r="F937" s="7"/>
      <c r="G937" s="7"/>
      <c r="H937" s="7"/>
      <c r="I937" s="287"/>
      <c r="J937" s="288"/>
      <c r="K937" s="288"/>
      <c r="L937" s="7"/>
      <c r="M937" s="28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</row>
    <row r="938" ht="18.75" customHeight="1">
      <c r="A938" s="7"/>
      <c r="B938" s="284"/>
      <c r="C938" s="7"/>
      <c r="D938" s="285"/>
      <c r="E938" s="286"/>
      <c r="F938" s="7"/>
      <c r="G938" s="7"/>
      <c r="H938" s="7"/>
      <c r="I938" s="287"/>
      <c r="J938" s="288"/>
      <c r="K938" s="288"/>
      <c r="L938" s="7"/>
      <c r="M938" s="28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</row>
    <row r="939" ht="18.75" customHeight="1">
      <c r="A939" s="7"/>
      <c r="B939" s="284"/>
      <c r="C939" s="7"/>
      <c r="D939" s="285"/>
      <c r="E939" s="286"/>
      <c r="F939" s="7"/>
      <c r="G939" s="7"/>
      <c r="H939" s="7"/>
      <c r="I939" s="287"/>
      <c r="J939" s="288"/>
      <c r="K939" s="288"/>
      <c r="L939" s="7"/>
      <c r="M939" s="28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</row>
    <row r="940" ht="18.75" customHeight="1">
      <c r="A940" s="7"/>
      <c r="B940" s="284"/>
      <c r="C940" s="7"/>
      <c r="D940" s="285"/>
      <c r="E940" s="286"/>
      <c r="F940" s="7"/>
      <c r="G940" s="7"/>
      <c r="H940" s="7"/>
      <c r="I940" s="287"/>
      <c r="J940" s="288"/>
      <c r="K940" s="288"/>
      <c r="L940" s="7"/>
      <c r="M940" s="28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</row>
    <row r="941" ht="18.75" customHeight="1">
      <c r="A941" s="7"/>
      <c r="B941" s="284"/>
      <c r="C941" s="7"/>
      <c r="D941" s="285"/>
      <c r="E941" s="286"/>
      <c r="F941" s="7"/>
      <c r="G941" s="7"/>
      <c r="H941" s="7"/>
      <c r="I941" s="287"/>
      <c r="J941" s="288"/>
      <c r="K941" s="288"/>
      <c r="L941" s="7"/>
      <c r="M941" s="28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</row>
    <row r="942" ht="18.75" customHeight="1">
      <c r="A942" s="7"/>
      <c r="B942" s="284"/>
      <c r="C942" s="7"/>
      <c r="D942" s="285"/>
      <c r="E942" s="286"/>
      <c r="F942" s="7"/>
      <c r="G942" s="7"/>
      <c r="H942" s="7"/>
      <c r="I942" s="287"/>
      <c r="J942" s="288"/>
      <c r="K942" s="288"/>
      <c r="L942" s="7"/>
      <c r="M942" s="28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</row>
    <row r="943" ht="18.75" customHeight="1">
      <c r="A943" s="7"/>
      <c r="B943" s="284"/>
      <c r="C943" s="7"/>
      <c r="D943" s="285"/>
      <c r="E943" s="286"/>
      <c r="F943" s="7"/>
      <c r="G943" s="7"/>
      <c r="H943" s="7"/>
      <c r="I943" s="287"/>
      <c r="J943" s="288"/>
      <c r="K943" s="288"/>
      <c r="L943" s="7"/>
      <c r="M943" s="28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</row>
    <row r="944" ht="18.75" customHeight="1">
      <c r="A944" s="7"/>
      <c r="B944" s="284"/>
      <c r="C944" s="7"/>
      <c r="D944" s="285"/>
      <c r="E944" s="286"/>
      <c r="F944" s="7"/>
      <c r="G944" s="7"/>
      <c r="H944" s="7"/>
      <c r="I944" s="287"/>
      <c r="J944" s="288"/>
      <c r="K944" s="288"/>
      <c r="L944" s="7"/>
      <c r="M944" s="28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</row>
    <row r="945" ht="18.75" customHeight="1">
      <c r="A945" s="7"/>
      <c r="B945" s="284"/>
      <c r="C945" s="7"/>
      <c r="D945" s="285"/>
      <c r="E945" s="286"/>
      <c r="F945" s="7"/>
      <c r="G945" s="7"/>
      <c r="H945" s="7"/>
      <c r="I945" s="287"/>
      <c r="J945" s="288"/>
      <c r="K945" s="288"/>
      <c r="L945" s="7"/>
      <c r="M945" s="28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</row>
    <row r="946" ht="18.75" customHeight="1">
      <c r="A946" s="7"/>
      <c r="B946" s="284"/>
      <c r="C946" s="7"/>
      <c r="D946" s="285"/>
      <c r="E946" s="286"/>
      <c r="F946" s="7"/>
      <c r="G946" s="7"/>
      <c r="H946" s="7"/>
      <c r="I946" s="287"/>
      <c r="J946" s="288"/>
      <c r="K946" s="288"/>
      <c r="L946" s="7"/>
      <c r="M946" s="28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</row>
    <row r="947" ht="18.75" customHeight="1">
      <c r="A947" s="7"/>
      <c r="B947" s="284"/>
      <c r="C947" s="7"/>
      <c r="D947" s="285"/>
      <c r="E947" s="286"/>
      <c r="F947" s="7"/>
      <c r="G947" s="7"/>
      <c r="H947" s="7"/>
      <c r="I947" s="287"/>
      <c r="J947" s="288"/>
      <c r="K947" s="288"/>
      <c r="L947" s="7"/>
      <c r="M947" s="28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</row>
    <row r="948" ht="18.75" customHeight="1">
      <c r="A948" s="7"/>
      <c r="B948" s="284"/>
      <c r="C948" s="7"/>
      <c r="D948" s="285"/>
      <c r="E948" s="286"/>
      <c r="F948" s="7"/>
      <c r="G948" s="7"/>
      <c r="H948" s="7"/>
      <c r="I948" s="287"/>
      <c r="J948" s="288"/>
      <c r="K948" s="288"/>
      <c r="L948" s="7"/>
      <c r="M948" s="28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</row>
    <row r="949" ht="18.75" customHeight="1">
      <c r="A949" s="7"/>
      <c r="B949" s="284"/>
      <c r="C949" s="7"/>
      <c r="D949" s="285"/>
      <c r="E949" s="286"/>
      <c r="F949" s="7"/>
      <c r="G949" s="7"/>
      <c r="H949" s="7"/>
      <c r="I949" s="287"/>
      <c r="J949" s="288"/>
      <c r="K949" s="288"/>
      <c r="L949" s="7"/>
      <c r="M949" s="28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</row>
    <row r="950" ht="18.75" customHeight="1">
      <c r="A950" s="7"/>
      <c r="B950" s="284"/>
      <c r="C950" s="7"/>
      <c r="D950" s="285"/>
      <c r="E950" s="286"/>
      <c r="F950" s="7"/>
      <c r="G950" s="7"/>
      <c r="H950" s="7"/>
      <c r="I950" s="287"/>
      <c r="J950" s="288"/>
      <c r="K950" s="288"/>
      <c r="L950" s="7"/>
      <c r="M950" s="28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</row>
    <row r="951" ht="18.75" customHeight="1">
      <c r="A951" s="7"/>
      <c r="B951" s="284"/>
      <c r="C951" s="7"/>
      <c r="D951" s="285"/>
      <c r="E951" s="286"/>
      <c r="F951" s="7"/>
      <c r="G951" s="7"/>
      <c r="H951" s="7"/>
      <c r="I951" s="287"/>
      <c r="J951" s="288"/>
      <c r="K951" s="288"/>
      <c r="L951" s="7"/>
      <c r="M951" s="28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</row>
    <row r="952" ht="18.75" customHeight="1">
      <c r="A952" s="7"/>
      <c r="B952" s="284"/>
      <c r="C952" s="7"/>
      <c r="D952" s="285"/>
      <c r="E952" s="286"/>
      <c r="F952" s="7"/>
      <c r="G952" s="7"/>
      <c r="H952" s="7"/>
      <c r="I952" s="287"/>
      <c r="J952" s="288"/>
      <c r="K952" s="288"/>
      <c r="L952" s="7"/>
      <c r="M952" s="28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</row>
    <row r="953" ht="18.75" customHeight="1">
      <c r="A953" s="7"/>
      <c r="B953" s="284"/>
      <c r="C953" s="7"/>
      <c r="D953" s="285"/>
      <c r="E953" s="286"/>
      <c r="F953" s="7"/>
      <c r="G953" s="7"/>
      <c r="H953" s="7"/>
      <c r="I953" s="287"/>
      <c r="J953" s="288"/>
      <c r="K953" s="288"/>
      <c r="L953" s="7"/>
      <c r="M953" s="28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</row>
    <row r="954" ht="18.75" customHeight="1">
      <c r="A954" s="7"/>
      <c r="B954" s="284"/>
      <c r="C954" s="7"/>
      <c r="D954" s="285"/>
      <c r="E954" s="286"/>
      <c r="F954" s="7"/>
      <c r="G954" s="7"/>
      <c r="H954" s="7"/>
      <c r="I954" s="287"/>
      <c r="J954" s="288"/>
      <c r="K954" s="288"/>
      <c r="L954" s="7"/>
      <c r="M954" s="28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</row>
    <row r="955" ht="18.75" customHeight="1">
      <c r="A955" s="7"/>
      <c r="B955" s="284"/>
      <c r="C955" s="7"/>
      <c r="D955" s="285"/>
      <c r="E955" s="286"/>
      <c r="F955" s="7"/>
      <c r="G955" s="7"/>
      <c r="H955" s="7"/>
      <c r="I955" s="287"/>
      <c r="J955" s="288"/>
      <c r="K955" s="288"/>
      <c r="L955" s="7"/>
      <c r="M955" s="28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</row>
    <row r="956" ht="18.75" customHeight="1">
      <c r="A956" s="7"/>
      <c r="B956" s="284"/>
      <c r="C956" s="7"/>
      <c r="D956" s="285"/>
      <c r="E956" s="286"/>
      <c r="F956" s="7"/>
      <c r="G956" s="7"/>
      <c r="H956" s="7"/>
      <c r="I956" s="287"/>
      <c r="J956" s="288"/>
      <c r="K956" s="288"/>
      <c r="L956" s="7"/>
      <c r="M956" s="28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</row>
    <row r="957" ht="18.75" customHeight="1">
      <c r="A957" s="7"/>
      <c r="B957" s="284"/>
      <c r="C957" s="7"/>
      <c r="D957" s="285"/>
      <c r="E957" s="286"/>
      <c r="F957" s="7"/>
      <c r="G957" s="7"/>
      <c r="H957" s="7"/>
      <c r="I957" s="287"/>
      <c r="J957" s="288"/>
      <c r="K957" s="288"/>
      <c r="L957" s="7"/>
      <c r="M957" s="28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</row>
    <row r="958" ht="18.75" customHeight="1">
      <c r="A958" s="7"/>
      <c r="B958" s="284"/>
      <c r="C958" s="7"/>
      <c r="D958" s="285"/>
      <c r="E958" s="286"/>
      <c r="F958" s="7"/>
      <c r="G958" s="7"/>
      <c r="H958" s="7"/>
      <c r="I958" s="287"/>
      <c r="J958" s="288"/>
      <c r="K958" s="288"/>
      <c r="L958" s="7"/>
      <c r="M958" s="28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</row>
    <row r="959" ht="18.75" customHeight="1">
      <c r="A959" s="7"/>
      <c r="B959" s="284"/>
      <c r="C959" s="7"/>
      <c r="D959" s="285"/>
      <c r="E959" s="286"/>
      <c r="F959" s="7"/>
      <c r="G959" s="7"/>
      <c r="H959" s="7"/>
      <c r="I959" s="287"/>
      <c r="J959" s="288"/>
      <c r="K959" s="288"/>
      <c r="L959" s="7"/>
      <c r="M959" s="28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</row>
    <row r="960" ht="18.75" customHeight="1">
      <c r="A960" s="7"/>
      <c r="B960" s="284"/>
      <c r="C960" s="7"/>
      <c r="D960" s="285"/>
      <c r="E960" s="286"/>
      <c r="F960" s="7"/>
      <c r="G960" s="7"/>
      <c r="H960" s="7"/>
      <c r="I960" s="287"/>
      <c r="J960" s="288"/>
      <c r="K960" s="288"/>
      <c r="L960" s="7"/>
      <c r="M960" s="28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</row>
    <row r="961" ht="18.75" customHeight="1">
      <c r="A961" s="7"/>
      <c r="B961" s="284"/>
      <c r="C961" s="7"/>
      <c r="D961" s="285"/>
      <c r="E961" s="286"/>
      <c r="F961" s="7"/>
      <c r="G961" s="7"/>
      <c r="H961" s="7"/>
      <c r="I961" s="287"/>
      <c r="J961" s="288"/>
      <c r="K961" s="288"/>
      <c r="L961" s="7"/>
      <c r="M961" s="28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</row>
    <row r="962" ht="18.75" customHeight="1">
      <c r="A962" s="7"/>
      <c r="B962" s="284"/>
      <c r="C962" s="7"/>
      <c r="D962" s="285"/>
      <c r="E962" s="286"/>
      <c r="F962" s="7"/>
      <c r="G962" s="7"/>
      <c r="H962" s="7"/>
      <c r="I962" s="287"/>
      <c r="J962" s="288"/>
      <c r="K962" s="288"/>
      <c r="L962" s="7"/>
      <c r="M962" s="28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</row>
    <row r="963" ht="18.75" customHeight="1">
      <c r="A963" s="7"/>
      <c r="B963" s="284"/>
      <c r="C963" s="7"/>
      <c r="D963" s="285"/>
      <c r="E963" s="286"/>
      <c r="F963" s="7"/>
      <c r="G963" s="7"/>
      <c r="H963" s="7"/>
      <c r="I963" s="287"/>
      <c r="J963" s="288"/>
      <c r="K963" s="288"/>
      <c r="L963" s="7"/>
      <c r="M963" s="28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</row>
    <row r="964" ht="18.75" customHeight="1">
      <c r="A964" s="7"/>
      <c r="B964" s="284"/>
      <c r="C964" s="7"/>
      <c r="D964" s="285"/>
      <c r="E964" s="286"/>
      <c r="F964" s="7"/>
      <c r="G964" s="7"/>
      <c r="H964" s="7"/>
      <c r="I964" s="287"/>
      <c r="J964" s="288"/>
      <c r="K964" s="288"/>
      <c r="L964" s="7"/>
      <c r="M964" s="28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</row>
    <row r="965" ht="18.75" customHeight="1">
      <c r="A965" s="7"/>
      <c r="B965" s="284"/>
      <c r="C965" s="7"/>
      <c r="D965" s="285"/>
      <c r="E965" s="286"/>
      <c r="F965" s="7"/>
      <c r="G965" s="7"/>
      <c r="H965" s="7"/>
      <c r="I965" s="287"/>
      <c r="J965" s="288"/>
      <c r="K965" s="288"/>
      <c r="L965" s="7"/>
      <c r="M965" s="28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</row>
    <row r="966" ht="18.75" customHeight="1">
      <c r="A966" s="7"/>
      <c r="B966" s="284"/>
      <c r="C966" s="7"/>
      <c r="D966" s="285"/>
      <c r="E966" s="286"/>
      <c r="F966" s="7"/>
      <c r="G966" s="7"/>
      <c r="H966" s="7"/>
      <c r="I966" s="287"/>
      <c r="J966" s="288"/>
      <c r="K966" s="288"/>
      <c r="L966" s="7"/>
      <c r="M966" s="28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</row>
    <row r="967" ht="18.75" customHeight="1">
      <c r="A967" s="7"/>
      <c r="B967" s="284"/>
      <c r="C967" s="7"/>
      <c r="D967" s="285"/>
      <c r="E967" s="286"/>
      <c r="F967" s="7"/>
      <c r="G967" s="7"/>
      <c r="H967" s="7"/>
      <c r="I967" s="287"/>
      <c r="J967" s="288"/>
      <c r="K967" s="288"/>
      <c r="L967" s="7"/>
      <c r="M967" s="28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</row>
    <row r="968" ht="18.75" customHeight="1">
      <c r="A968" s="7"/>
      <c r="B968" s="284"/>
      <c r="C968" s="7"/>
      <c r="D968" s="285"/>
      <c r="E968" s="286"/>
      <c r="F968" s="7"/>
      <c r="G968" s="7"/>
      <c r="H968" s="7"/>
      <c r="I968" s="287"/>
      <c r="J968" s="288"/>
      <c r="K968" s="288"/>
      <c r="L968" s="7"/>
      <c r="M968" s="28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</row>
    <row r="969" ht="18.75" customHeight="1">
      <c r="A969" s="7"/>
      <c r="B969" s="284"/>
      <c r="C969" s="7"/>
      <c r="D969" s="285"/>
      <c r="E969" s="286"/>
      <c r="F969" s="7"/>
      <c r="G969" s="7"/>
      <c r="H969" s="7"/>
      <c r="I969" s="287"/>
      <c r="J969" s="288"/>
      <c r="K969" s="288"/>
      <c r="L969" s="7"/>
      <c r="M969" s="28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</row>
    <row r="970" ht="18.75" customHeight="1">
      <c r="A970" s="7"/>
      <c r="B970" s="284"/>
      <c r="C970" s="7"/>
      <c r="D970" s="285"/>
      <c r="E970" s="286"/>
      <c r="F970" s="7"/>
      <c r="G970" s="7"/>
      <c r="H970" s="7"/>
      <c r="I970" s="287"/>
      <c r="J970" s="288"/>
      <c r="K970" s="288"/>
      <c r="L970" s="7"/>
      <c r="M970" s="28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</row>
    <row r="971" ht="18.75" customHeight="1">
      <c r="A971" s="7"/>
      <c r="B971" s="284"/>
      <c r="C971" s="7"/>
      <c r="D971" s="285"/>
      <c r="E971" s="286"/>
      <c r="F971" s="7"/>
      <c r="G971" s="7"/>
      <c r="H971" s="7"/>
      <c r="I971" s="287"/>
      <c r="J971" s="288"/>
      <c r="K971" s="288"/>
      <c r="L971" s="7"/>
      <c r="M971" s="28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</row>
    <row r="972" ht="18.75" customHeight="1">
      <c r="A972" s="7"/>
      <c r="B972" s="284"/>
      <c r="C972" s="7"/>
      <c r="D972" s="285"/>
      <c r="E972" s="286"/>
      <c r="F972" s="7"/>
      <c r="G972" s="7"/>
      <c r="H972" s="7"/>
      <c r="I972" s="287"/>
      <c r="J972" s="288"/>
      <c r="K972" s="288"/>
      <c r="L972" s="7"/>
      <c r="M972" s="28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</row>
    <row r="973" ht="18.75" customHeight="1">
      <c r="A973" s="7"/>
      <c r="B973" s="284"/>
      <c r="C973" s="7"/>
      <c r="D973" s="285"/>
      <c r="E973" s="286"/>
      <c r="F973" s="7"/>
      <c r="G973" s="7"/>
      <c r="H973" s="7"/>
      <c r="I973" s="287"/>
      <c r="J973" s="288"/>
      <c r="K973" s="288"/>
      <c r="L973" s="7"/>
      <c r="M973" s="28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</row>
    <row r="974" ht="18.75" customHeight="1">
      <c r="A974" s="7"/>
      <c r="B974" s="284"/>
      <c r="C974" s="7"/>
      <c r="D974" s="285"/>
      <c r="E974" s="286"/>
      <c r="F974" s="7"/>
      <c r="G974" s="7"/>
      <c r="H974" s="7"/>
      <c r="I974" s="287"/>
      <c r="J974" s="288"/>
      <c r="K974" s="288"/>
      <c r="L974" s="7"/>
      <c r="M974" s="28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</row>
    <row r="975" ht="18.75" customHeight="1">
      <c r="A975" s="7"/>
      <c r="B975" s="284"/>
      <c r="C975" s="7"/>
      <c r="D975" s="285"/>
      <c r="E975" s="286"/>
      <c r="F975" s="7"/>
      <c r="G975" s="7"/>
      <c r="H975" s="7"/>
      <c r="I975" s="287"/>
      <c r="J975" s="288"/>
      <c r="K975" s="288"/>
      <c r="L975" s="7"/>
      <c r="M975" s="28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</row>
    <row r="976" ht="18.75" customHeight="1">
      <c r="A976" s="7"/>
      <c r="B976" s="284"/>
      <c r="C976" s="7"/>
      <c r="D976" s="285"/>
      <c r="E976" s="286"/>
      <c r="F976" s="7"/>
      <c r="G976" s="7"/>
      <c r="H976" s="7"/>
      <c r="I976" s="287"/>
      <c r="J976" s="288"/>
      <c r="K976" s="288"/>
      <c r="L976" s="7"/>
      <c r="M976" s="28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</row>
    <row r="977" ht="18.75" customHeight="1">
      <c r="A977" s="7"/>
      <c r="B977" s="284"/>
      <c r="C977" s="7"/>
      <c r="D977" s="285"/>
      <c r="E977" s="286"/>
      <c r="F977" s="7"/>
      <c r="G977" s="7"/>
      <c r="H977" s="7"/>
      <c r="I977" s="287"/>
      <c r="J977" s="288"/>
      <c r="K977" s="288"/>
      <c r="L977" s="7"/>
      <c r="M977" s="28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</row>
    <row r="978" ht="18.75" customHeight="1">
      <c r="A978" s="7"/>
      <c r="B978" s="284"/>
      <c r="C978" s="7"/>
      <c r="D978" s="285"/>
      <c r="E978" s="286"/>
      <c r="F978" s="7"/>
      <c r="G978" s="7"/>
      <c r="H978" s="7"/>
      <c r="I978" s="287"/>
      <c r="J978" s="288"/>
      <c r="K978" s="288"/>
      <c r="L978" s="7"/>
      <c r="M978" s="28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</row>
    <row r="979" ht="18.75" customHeight="1">
      <c r="A979" s="7"/>
      <c r="B979" s="284"/>
      <c r="C979" s="7"/>
      <c r="D979" s="285"/>
      <c r="E979" s="286"/>
      <c r="F979" s="7"/>
      <c r="G979" s="7"/>
      <c r="H979" s="7"/>
      <c r="I979" s="287"/>
      <c r="J979" s="288"/>
      <c r="K979" s="288"/>
      <c r="L979" s="7"/>
      <c r="M979" s="28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</row>
    <row r="980" ht="18.75" customHeight="1">
      <c r="A980" s="7"/>
      <c r="B980" s="284"/>
      <c r="C980" s="7"/>
      <c r="D980" s="285"/>
      <c r="E980" s="286"/>
      <c r="F980" s="7"/>
      <c r="G980" s="7"/>
      <c r="H980" s="7"/>
      <c r="I980" s="287"/>
      <c r="J980" s="288"/>
      <c r="K980" s="288"/>
      <c r="L980" s="7"/>
      <c r="M980" s="28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</row>
    <row r="981" ht="18.75" customHeight="1">
      <c r="A981" s="7"/>
      <c r="B981" s="284"/>
      <c r="C981" s="7"/>
      <c r="D981" s="285"/>
      <c r="E981" s="286"/>
      <c r="F981" s="7"/>
      <c r="G981" s="7"/>
      <c r="H981" s="7"/>
      <c r="I981" s="287"/>
      <c r="J981" s="288"/>
      <c r="K981" s="288"/>
      <c r="L981" s="7"/>
      <c r="M981" s="28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</row>
    <row r="982" ht="18.75" customHeight="1">
      <c r="A982" s="7"/>
      <c r="B982" s="284"/>
      <c r="C982" s="7"/>
      <c r="D982" s="285"/>
      <c r="E982" s="286"/>
      <c r="F982" s="7"/>
      <c r="G982" s="7"/>
      <c r="H982" s="7"/>
      <c r="I982" s="287"/>
      <c r="J982" s="288"/>
      <c r="K982" s="288"/>
      <c r="L982" s="7"/>
      <c r="M982" s="28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</row>
    <row r="983" ht="18.75" customHeight="1">
      <c r="A983" s="7"/>
      <c r="B983" s="284"/>
      <c r="C983" s="7"/>
      <c r="D983" s="285"/>
      <c r="E983" s="286"/>
      <c r="F983" s="7"/>
      <c r="G983" s="7"/>
      <c r="H983" s="7"/>
      <c r="I983" s="287"/>
      <c r="J983" s="288"/>
      <c r="K983" s="288"/>
      <c r="L983" s="7"/>
      <c r="M983" s="28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</row>
    <row r="984" ht="18.75" customHeight="1">
      <c r="A984" s="7"/>
      <c r="B984" s="284"/>
      <c r="C984" s="7"/>
      <c r="D984" s="285"/>
      <c r="E984" s="286"/>
      <c r="F984" s="7"/>
      <c r="G984" s="7"/>
      <c r="H984" s="7"/>
      <c r="I984" s="287"/>
      <c r="J984" s="288"/>
      <c r="K984" s="288"/>
      <c r="L984" s="7"/>
      <c r="M984" s="28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</row>
    <row r="985" ht="18.75" customHeight="1">
      <c r="A985" s="7"/>
      <c r="B985" s="284"/>
      <c r="C985" s="7"/>
      <c r="D985" s="285"/>
      <c r="E985" s="286"/>
      <c r="F985" s="7"/>
      <c r="G985" s="7"/>
      <c r="H985" s="7"/>
      <c r="I985" s="287"/>
      <c r="J985" s="288"/>
      <c r="K985" s="288"/>
      <c r="L985" s="7"/>
      <c r="M985" s="28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</row>
    <row r="986" ht="18.75" customHeight="1">
      <c r="A986" s="7"/>
      <c r="B986" s="284"/>
      <c r="C986" s="7"/>
      <c r="D986" s="285"/>
      <c r="E986" s="286"/>
      <c r="F986" s="7"/>
      <c r="G986" s="7"/>
      <c r="H986" s="7"/>
      <c r="I986" s="287"/>
      <c r="J986" s="288"/>
      <c r="K986" s="288"/>
      <c r="L986" s="7"/>
      <c r="M986" s="28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</row>
    <row r="987" ht="18.75" customHeight="1">
      <c r="A987" s="7"/>
      <c r="B987" s="284"/>
      <c r="C987" s="7"/>
      <c r="D987" s="285"/>
      <c r="E987" s="286"/>
      <c r="F987" s="7"/>
      <c r="G987" s="7"/>
      <c r="H987" s="7"/>
      <c r="I987" s="287"/>
      <c r="J987" s="288"/>
      <c r="K987" s="288"/>
      <c r="L987" s="7"/>
      <c r="M987" s="28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</row>
    <row r="988" ht="18.75" customHeight="1">
      <c r="A988" s="7"/>
      <c r="B988" s="284"/>
      <c r="C988" s="7"/>
      <c r="D988" s="285"/>
      <c r="E988" s="286"/>
      <c r="F988" s="7"/>
      <c r="G988" s="7"/>
      <c r="H988" s="7"/>
      <c r="I988" s="287"/>
      <c r="J988" s="288"/>
      <c r="K988" s="288"/>
      <c r="L988" s="7"/>
      <c r="M988" s="28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</row>
    <row r="989" ht="18.75" customHeight="1">
      <c r="A989" s="7"/>
      <c r="B989" s="284"/>
      <c r="C989" s="7"/>
      <c r="D989" s="285"/>
      <c r="E989" s="286"/>
      <c r="F989" s="7"/>
      <c r="G989" s="7"/>
      <c r="H989" s="7"/>
      <c r="I989" s="287"/>
      <c r="J989" s="288"/>
      <c r="K989" s="288"/>
      <c r="L989" s="7"/>
      <c r="M989" s="28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</row>
    <row r="990" ht="18.75" customHeight="1">
      <c r="A990" s="7"/>
      <c r="B990" s="284"/>
      <c r="C990" s="7"/>
      <c r="D990" s="285"/>
      <c r="E990" s="286"/>
      <c r="F990" s="7"/>
      <c r="G990" s="7"/>
      <c r="H990" s="7"/>
      <c r="I990" s="287"/>
      <c r="J990" s="288"/>
      <c r="K990" s="288"/>
      <c r="L990" s="7"/>
      <c r="M990" s="28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</row>
    <row r="991" ht="18.75" customHeight="1">
      <c r="A991" s="7"/>
      <c r="B991" s="284"/>
      <c r="C991" s="7"/>
      <c r="D991" s="285"/>
      <c r="E991" s="286"/>
      <c r="F991" s="7"/>
      <c r="G991" s="7"/>
      <c r="H991" s="7"/>
      <c r="I991" s="287"/>
      <c r="J991" s="288"/>
      <c r="K991" s="288"/>
      <c r="L991" s="7"/>
      <c r="M991" s="28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</row>
    <row r="992" ht="18.75" customHeight="1">
      <c r="A992" s="7"/>
      <c r="B992" s="284"/>
      <c r="C992" s="7"/>
      <c r="D992" s="285"/>
      <c r="E992" s="286"/>
      <c r="F992" s="7"/>
      <c r="G992" s="7"/>
      <c r="H992" s="7"/>
      <c r="I992" s="287"/>
      <c r="J992" s="288"/>
      <c r="K992" s="288"/>
      <c r="L992" s="7"/>
      <c r="M992" s="28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</row>
    <row r="993" ht="18.75" customHeight="1">
      <c r="A993" s="7"/>
      <c r="B993" s="284"/>
      <c r="C993" s="7"/>
      <c r="D993" s="285"/>
      <c r="E993" s="286"/>
      <c r="F993" s="7"/>
      <c r="G993" s="7"/>
      <c r="H993" s="7"/>
      <c r="I993" s="287"/>
      <c r="J993" s="288"/>
      <c r="K993" s="288"/>
      <c r="L993" s="7"/>
      <c r="M993" s="28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</row>
    <row r="994" ht="18.75" customHeight="1">
      <c r="A994" s="7"/>
      <c r="B994" s="284"/>
      <c r="C994" s="7"/>
      <c r="D994" s="285"/>
      <c r="E994" s="286"/>
      <c r="F994" s="7"/>
      <c r="G994" s="7"/>
      <c r="H994" s="7"/>
      <c r="I994" s="287"/>
      <c r="J994" s="288"/>
      <c r="K994" s="288"/>
      <c r="L994" s="7"/>
      <c r="M994" s="28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</row>
    <row r="995" ht="18.75" customHeight="1">
      <c r="A995" s="7"/>
      <c r="B995" s="284"/>
      <c r="C995" s="7"/>
      <c r="D995" s="285"/>
      <c r="E995" s="286"/>
      <c r="F995" s="7"/>
      <c r="G995" s="7"/>
      <c r="H995" s="7"/>
      <c r="I995" s="287"/>
      <c r="J995" s="288"/>
      <c r="K995" s="288"/>
      <c r="L995" s="7"/>
      <c r="M995" s="28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</row>
    <row r="996" ht="18.75" customHeight="1">
      <c r="A996" s="7"/>
      <c r="B996" s="284"/>
      <c r="C996" s="7"/>
      <c r="D996" s="285"/>
      <c r="E996" s="286"/>
      <c r="F996" s="7"/>
      <c r="G996" s="7"/>
      <c r="H996" s="7"/>
      <c r="I996" s="287"/>
      <c r="J996" s="288"/>
      <c r="K996" s="288"/>
      <c r="L996" s="7"/>
      <c r="M996" s="28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</row>
    <row r="997" ht="18.75" customHeight="1">
      <c r="A997" s="7"/>
      <c r="B997" s="284"/>
      <c r="C997" s="7"/>
      <c r="D997" s="285"/>
      <c r="E997" s="286"/>
      <c r="F997" s="7"/>
      <c r="G997" s="7"/>
      <c r="H997" s="7"/>
      <c r="I997" s="287"/>
      <c r="J997" s="288"/>
      <c r="K997" s="288"/>
      <c r="L997" s="7"/>
      <c r="M997" s="28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</row>
    <row r="998" ht="18.75" customHeight="1">
      <c r="A998" s="7"/>
      <c r="B998" s="284"/>
      <c r="C998" s="7"/>
      <c r="D998" s="285"/>
      <c r="E998" s="286"/>
      <c r="F998" s="7"/>
      <c r="G998" s="7"/>
      <c r="H998" s="7"/>
      <c r="I998" s="287"/>
      <c r="J998" s="288"/>
      <c r="K998" s="288"/>
      <c r="L998" s="7"/>
      <c r="M998" s="28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</row>
    <row r="999" ht="18.75" customHeight="1">
      <c r="A999" s="7"/>
      <c r="B999" s="284"/>
      <c r="C999" s="7"/>
      <c r="D999" s="285"/>
      <c r="E999" s="286"/>
      <c r="F999" s="7"/>
      <c r="G999" s="7"/>
      <c r="H999" s="7"/>
      <c r="I999" s="287"/>
      <c r="J999" s="288"/>
      <c r="K999" s="288"/>
      <c r="L999" s="7"/>
      <c r="M999" s="28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</row>
    <row r="1000" ht="18.75" customHeight="1">
      <c r="A1000" s="7"/>
      <c r="B1000" s="284"/>
      <c r="C1000" s="7"/>
      <c r="D1000" s="285"/>
      <c r="E1000" s="286"/>
      <c r="F1000" s="7"/>
      <c r="G1000" s="7"/>
      <c r="H1000" s="7"/>
      <c r="I1000" s="287"/>
      <c r="J1000" s="288"/>
      <c r="K1000" s="288"/>
      <c r="L1000" s="7"/>
      <c r="M1000" s="28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</row>
    <row r="1001" ht="18.75" customHeight="1">
      <c r="A1001" s="7"/>
      <c r="B1001" s="284"/>
      <c r="C1001" s="7"/>
      <c r="D1001" s="285"/>
      <c r="E1001" s="286"/>
      <c r="F1001" s="7"/>
      <c r="G1001" s="7"/>
      <c r="H1001" s="7"/>
      <c r="I1001" s="287"/>
      <c r="J1001" s="288"/>
      <c r="K1001" s="288"/>
      <c r="L1001" s="7"/>
      <c r="M1001" s="28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</row>
    <row r="1002" ht="18.75" customHeight="1">
      <c r="A1002" s="7"/>
      <c r="B1002" s="284"/>
      <c r="C1002" s="7"/>
      <c r="D1002" s="285"/>
      <c r="E1002" s="286"/>
      <c r="F1002" s="7"/>
      <c r="G1002" s="7"/>
      <c r="H1002" s="7"/>
      <c r="I1002" s="287"/>
      <c r="J1002" s="288"/>
      <c r="K1002" s="288"/>
      <c r="L1002" s="7"/>
      <c r="M1002" s="28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</row>
    <row r="1003" ht="18.75" customHeight="1">
      <c r="A1003" s="7"/>
      <c r="B1003" s="284"/>
      <c r="C1003" s="7"/>
      <c r="D1003" s="285"/>
      <c r="E1003" s="286"/>
      <c r="F1003" s="7"/>
      <c r="G1003" s="7"/>
      <c r="H1003" s="7"/>
      <c r="I1003" s="287"/>
      <c r="J1003" s="288"/>
      <c r="K1003" s="288"/>
      <c r="L1003" s="7"/>
      <c r="M1003" s="28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</row>
    <row r="1004" ht="18.75" customHeight="1">
      <c r="A1004" s="7"/>
      <c r="B1004" s="284"/>
      <c r="C1004" s="7"/>
      <c r="D1004" s="285"/>
      <c r="E1004" s="286"/>
      <c r="F1004" s="7"/>
      <c r="G1004" s="7"/>
      <c r="H1004" s="7"/>
      <c r="I1004" s="287"/>
      <c r="J1004" s="288"/>
      <c r="K1004" s="288"/>
      <c r="L1004" s="7"/>
      <c r="M1004" s="28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</row>
    <row r="1005" ht="18.75" customHeight="1">
      <c r="A1005" s="7"/>
      <c r="B1005" s="284"/>
      <c r="C1005" s="7"/>
      <c r="D1005" s="285"/>
      <c r="E1005" s="286"/>
      <c r="F1005" s="7"/>
      <c r="G1005" s="7"/>
      <c r="H1005" s="7"/>
      <c r="I1005" s="287"/>
      <c r="J1005" s="288"/>
      <c r="K1005" s="288"/>
      <c r="L1005" s="7"/>
      <c r="M1005" s="28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</row>
    <row r="1006" ht="18.75" customHeight="1">
      <c r="A1006" s="7"/>
      <c r="B1006" s="284"/>
      <c r="C1006" s="7"/>
      <c r="D1006" s="285"/>
      <c r="E1006" s="286"/>
      <c r="F1006" s="7"/>
      <c r="G1006" s="7"/>
      <c r="H1006" s="7"/>
      <c r="I1006" s="287"/>
      <c r="J1006" s="288"/>
      <c r="K1006" s="288"/>
      <c r="L1006" s="7"/>
      <c r="M1006" s="28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</row>
    <row r="1007" ht="18.75" customHeight="1">
      <c r="A1007" s="7"/>
      <c r="B1007" s="284"/>
      <c r="C1007" s="7"/>
      <c r="D1007" s="285"/>
      <c r="E1007" s="286"/>
      <c r="F1007" s="7"/>
      <c r="G1007" s="7"/>
      <c r="H1007" s="7"/>
      <c r="I1007" s="287"/>
      <c r="J1007" s="288"/>
      <c r="K1007" s="288"/>
      <c r="L1007" s="7"/>
      <c r="M1007" s="28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</row>
    <row r="1008" ht="18.75" customHeight="1">
      <c r="A1008" s="7"/>
      <c r="B1008" s="284"/>
      <c r="C1008" s="7"/>
      <c r="D1008" s="285"/>
      <c r="E1008" s="286"/>
      <c r="F1008" s="7"/>
      <c r="G1008" s="7"/>
      <c r="H1008" s="7"/>
      <c r="I1008" s="287"/>
      <c r="J1008" s="288"/>
      <c r="K1008" s="288"/>
      <c r="L1008" s="7"/>
      <c r="M1008" s="28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</row>
    <row r="1009" ht="18.75" customHeight="1">
      <c r="A1009" s="7"/>
      <c r="B1009" s="284"/>
      <c r="C1009" s="7"/>
      <c r="D1009" s="285"/>
      <c r="E1009" s="286"/>
      <c r="F1009" s="7"/>
      <c r="G1009" s="7"/>
      <c r="H1009" s="7"/>
      <c r="I1009" s="287"/>
      <c r="J1009" s="288"/>
      <c r="K1009" s="288"/>
      <c r="L1009" s="7"/>
      <c r="M1009" s="28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</row>
    <row r="1010" ht="18.75" customHeight="1">
      <c r="A1010" s="7"/>
      <c r="B1010" s="284"/>
      <c r="C1010" s="7"/>
      <c r="D1010" s="285"/>
      <c r="E1010" s="286"/>
      <c r="F1010" s="7"/>
      <c r="G1010" s="7"/>
      <c r="H1010" s="7"/>
      <c r="I1010" s="287"/>
      <c r="J1010" s="288"/>
      <c r="K1010" s="288"/>
      <c r="L1010" s="7"/>
      <c r="M1010" s="28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</row>
    <row r="1011" ht="18.75" customHeight="1">
      <c r="A1011" s="7"/>
      <c r="B1011" s="284"/>
      <c r="C1011" s="7"/>
      <c r="D1011" s="285"/>
      <c r="E1011" s="286"/>
      <c r="F1011" s="7"/>
      <c r="G1011" s="7"/>
      <c r="H1011" s="7"/>
      <c r="I1011" s="287"/>
      <c r="J1011" s="288"/>
      <c r="K1011" s="288"/>
      <c r="L1011" s="7"/>
      <c r="M1011" s="28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</row>
    <row r="1012" ht="18.75" customHeight="1">
      <c r="A1012" s="7"/>
      <c r="B1012" s="284"/>
      <c r="C1012" s="7"/>
      <c r="D1012" s="285"/>
      <c r="E1012" s="286"/>
      <c r="F1012" s="7"/>
      <c r="G1012" s="7"/>
      <c r="H1012" s="7"/>
      <c r="I1012" s="287"/>
      <c r="J1012" s="288"/>
      <c r="K1012" s="288"/>
      <c r="L1012" s="7"/>
      <c r="M1012" s="28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</row>
    <row r="1013" ht="18.75" customHeight="1">
      <c r="A1013" s="7"/>
      <c r="B1013" s="284"/>
      <c r="C1013" s="7"/>
      <c r="D1013" s="285"/>
      <c r="E1013" s="286"/>
      <c r="F1013" s="7"/>
      <c r="G1013" s="7"/>
      <c r="H1013" s="7"/>
      <c r="I1013" s="287"/>
      <c r="J1013" s="288"/>
      <c r="K1013" s="288"/>
      <c r="L1013" s="7"/>
      <c r="M1013" s="28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</row>
    <row r="1014" ht="18.75" customHeight="1">
      <c r="A1014" s="7"/>
      <c r="B1014" s="284"/>
      <c r="C1014" s="7"/>
      <c r="D1014" s="285"/>
      <c r="E1014" s="286"/>
      <c r="F1014" s="7"/>
      <c r="G1014" s="7"/>
      <c r="H1014" s="7"/>
      <c r="I1014" s="287"/>
      <c r="J1014" s="288"/>
      <c r="K1014" s="288"/>
      <c r="L1014" s="7"/>
      <c r="M1014" s="28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</row>
    <row r="1015" ht="18.75" customHeight="1">
      <c r="A1015" s="7"/>
      <c r="B1015" s="284"/>
      <c r="C1015" s="7"/>
      <c r="D1015" s="285"/>
      <c r="E1015" s="286"/>
      <c r="F1015" s="7"/>
      <c r="G1015" s="7"/>
      <c r="H1015" s="7"/>
      <c r="I1015" s="287"/>
      <c r="J1015" s="288"/>
      <c r="K1015" s="288"/>
      <c r="L1015" s="7"/>
      <c r="M1015" s="28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</row>
    <row r="1016" ht="18.75" customHeight="1">
      <c r="A1016" s="7"/>
      <c r="B1016" s="284"/>
      <c r="C1016" s="7"/>
      <c r="D1016" s="285"/>
      <c r="E1016" s="286"/>
      <c r="F1016" s="7"/>
      <c r="G1016" s="7"/>
      <c r="H1016" s="7"/>
      <c r="I1016" s="287"/>
      <c r="J1016" s="288"/>
      <c r="K1016" s="288"/>
      <c r="L1016" s="7"/>
      <c r="M1016" s="28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</row>
    <row r="1017" ht="18.75" customHeight="1">
      <c r="A1017" s="7"/>
      <c r="B1017" s="284"/>
      <c r="C1017" s="7"/>
      <c r="D1017" s="285"/>
      <c r="E1017" s="286"/>
      <c r="F1017" s="7"/>
      <c r="G1017" s="7"/>
      <c r="H1017" s="7"/>
      <c r="I1017" s="287"/>
      <c r="J1017" s="288"/>
      <c r="K1017" s="288"/>
      <c r="L1017" s="7"/>
      <c r="M1017" s="28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</row>
    <row r="1018" ht="18.75" customHeight="1">
      <c r="A1018" s="7"/>
      <c r="B1018" s="284"/>
      <c r="C1018" s="7"/>
      <c r="D1018" s="285"/>
      <c r="E1018" s="286"/>
      <c r="F1018" s="7"/>
      <c r="G1018" s="7"/>
      <c r="H1018" s="7"/>
      <c r="I1018" s="287"/>
      <c r="J1018" s="288"/>
      <c r="K1018" s="288"/>
      <c r="L1018" s="7"/>
      <c r="M1018" s="28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</row>
    <row r="1019" ht="18.75" customHeight="1">
      <c r="A1019" s="7"/>
      <c r="B1019" s="284"/>
      <c r="C1019" s="7"/>
      <c r="D1019" s="285"/>
      <c r="E1019" s="286"/>
      <c r="F1019" s="7"/>
      <c r="G1019" s="7"/>
      <c r="H1019" s="7"/>
      <c r="I1019" s="287"/>
      <c r="J1019" s="288"/>
      <c r="K1019" s="288"/>
      <c r="L1019" s="7"/>
      <c r="M1019" s="28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</row>
    <row r="1020" ht="18.75" customHeight="1">
      <c r="A1020" s="7"/>
      <c r="B1020" s="284"/>
      <c r="C1020" s="7"/>
      <c r="D1020" s="285"/>
      <c r="E1020" s="286"/>
      <c r="F1020" s="7"/>
      <c r="G1020" s="7"/>
      <c r="H1020" s="7"/>
      <c r="I1020" s="287"/>
      <c r="J1020" s="288"/>
      <c r="K1020" s="288"/>
      <c r="L1020" s="7"/>
      <c r="M1020" s="28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</row>
    <row r="1021" ht="18.75" customHeight="1">
      <c r="A1021" s="7"/>
      <c r="B1021" s="284"/>
      <c r="C1021" s="7"/>
      <c r="D1021" s="285"/>
      <c r="E1021" s="286"/>
      <c r="F1021" s="7"/>
      <c r="G1021" s="7"/>
      <c r="H1021" s="7"/>
      <c r="I1021" s="287"/>
      <c r="J1021" s="288"/>
      <c r="K1021" s="288"/>
      <c r="L1021" s="7"/>
      <c r="M1021" s="28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</row>
    <row r="1022" ht="18.75" customHeight="1">
      <c r="A1022" s="7"/>
      <c r="B1022" s="284"/>
      <c r="C1022" s="7"/>
      <c r="D1022" s="285"/>
      <c r="E1022" s="286"/>
      <c r="F1022" s="7"/>
      <c r="G1022" s="7"/>
      <c r="H1022" s="7"/>
      <c r="I1022" s="287"/>
      <c r="J1022" s="288"/>
      <c r="K1022" s="288"/>
      <c r="L1022" s="7"/>
      <c r="M1022" s="28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</row>
    <row r="1023" ht="18.75" customHeight="1">
      <c r="A1023" s="7"/>
      <c r="B1023" s="284"/>
      <c r="C1023" s="7"/>
      <c r="D1023" s="285"/>
      <c r="E1023" s="286"/>
      <c r="F1023" s="7"/>
      <c r="G1023" s="7"/>
      <c r="H1023" s="7"/>
      <c r="I1023" s="287"/>
      <c r="J1023" s="288"/>
      <c r="K1023" s="288"/>
      <c r="L1023" s="7"/>
      <c r="M1023" s="28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</row>
    <row r="1024" ht="18.75" customHeight="1">
      <c r="A1024" s="7"/>
      <c r="B1024" s="284"/>
      <c r="C1024" s="7"/>
      <c r="D1024" s="285"/>
      <c r="E1024" s="286"/>
      <c r="F1024" s="7"/>
      <c r="G1024" s="7"/>
      <c r="H1024" s="7"/>
      <c r="I1024" s="287"/>
      <c r="J1024" s="288"/>
      <c r="K1024" s="288"/>
      <c r="L1024" s="7"/>
      <c r="M1024" s="28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</row>
    <row r="1025" ht="18.75" customHeight="1">
      <c r="A1025" s="7"/>
      <c r="B1025" s="284"/>
      <c r="C1025" s="7"/>
      <c r="D1025" s="285"/>
      <c r="E1025" s="286"/>
      <c r="F1025" s="7"/>
      <c r="G1025" s="7"/>
      <c r="H1025" s="7"/>
      <c r="I1025" s="287"/>
      <c r="J1025" s="288"/>
      <c r="K1025" s="288"/>
      <c r="L1025" s="7"/>
      <c r="M1025" s="28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</row>
    <row r="1026" ht="18.75" customHeight="1">
      <c r="A1026" s="7"/>
      <c r="B1026" s="284"/>
      <c r="C1026" s="7"/>
      <c r="D1026" s="285"/>
      <c r="E1026" s="286"/>
      <c r="F1026" s="7"/>
      <c r="G1026" s="7"/>
      <c r="H1026" s="7"/>
      <c r="I1026" s="287"/>
      <c r="J1026" s="288"/>
      <c r="K1026" s="288"/>
      <c r="L1026" s="7"/>
      <c r="M1026" s="28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</row>
    <row r="1027" ht="18.75" customHeight="1">
      <c r="A1027" s="7"/>
      <c r="B1027" s="284"/>
      <c r="C1027" s="7"/>
      <c r="D1027" s="285"/>
      <c r="E1027" s="286"/>
      <c r="F1027" s="7"/>
      <c r="G1027" s="7"/>
      <c r="H1027" s="7"/>
      <c r="I1027" s="287"/>
      <c r="J1027" s="288"/>
      <c r="K1027" s="288"/>
      <c r="L1027" s="7"/>
      <c r="M1027" s="28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</row>
    <row r="1028" ht="18.75" customHeight="1">
      <c r="A1028" s="7"/>
      <c r="B1028" s="284"/>
      <c r="C1028" s="7"/>
      <c r="D1028" s="285"/>
      <c r="E1028" s="286"/>
      <c r="F1028" s="7"/>
      <c r="G1028" s="7"/>
      <c r="H1028" s="7"/>
      <c r="I1028" s="287"/>
      <c r="J1028" s="288"/>
      <c r="K1028" s="288"/>
      <c r="L1028" s="7"/>
      <c r="M1028" s="28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</row>
    <row r="1029" ht="18.75" customHeight="1">
      <c r="A1029" s="7"/>
      <c r="B1029" s="284"/>
      <c r="C1029" s="7"/>
      <c r="D1029" s="285"/>
      <c r="E1029" s="286"/>
      <c r="F1029" s="7"/>
      <c r="G1029" s="7"/>
      <c r="H1029" s="7"/>
      <c r="I1029" s="287"/>
      <c r="J1029" s="288"/>
      <c r="K1029" s="288"/>
      <c r="L1029" s="7"/>
      <c r="M1029" s="28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</row>
    <row r="1030" ht="18.75" customHeight="1">
      <c r="A1030" s="7"/>
      <c r="B1030" s="284"/>
      <c r="C1030" s="7"/>
      <c r="D1030" s="285"/>
      <c r="E1030" s="286"/>
      <c r="F1030" s="7"/>
      <c r="G1030" s="7"/>
      <c r="H1030" s="7"/>
      <c r="I1030" s="287"/>
      <c r="J1030" s="288"/>
      <c r="K1030" s="288"/>
      <c r="L1030" s="7"/>
      <c r="M1030" s="28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</row>
    <row r="1031" ht="18.75" customHeight="1">
      <c r="A1031" s="7"/>
      <c r="B1031" s="284"/>
      <c r="C1031" s="7"/>
      <c r="D1031" s="285"/>
      <c r="E1031" s="286"/>
      <c r="F1031" s="7"/>
      <c r="G1031" s="7"/>
      <c r="H1031" s="7"/>
      <c r="I1031" s="287"/>
      <c r="J1031" s="288"/>
      <c r="K1031" s="288"/>
      <c r="L1031" s="7"/>
      <c r="M1031" s="28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</row>
    <row r="1032" ht="18.75" customHeight="1">
      <c r="A1032" s="7"/>
      <c r="B1032" s="284"/>
      <c r="C1032" s="7"/>
      <c r="D1032" s="285"/>
      <c r="E1032" s="286"/>
      <c r="F1032" s="7"/>
      <c r="G1032" s="7"/>
      <c r="H1032" s="7"/>
      <c r="I1032" s="287"/>
      <c r="J1032" s="288"/>
      <c r="K1032" s="288"/>
      <c r="L1032" s="7"/>
      <c r="M1032" s="28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</row>
    <row r="1033" ht="18.75" customHeight="1">
      <c r="A1033" s="7"/>
      <c r="B1033" s="284"/>
      <c r="C1033" s="7"/>
      <c r="D1033" s="285"/>
      <c r="E1033" s="286"/>
      <c r="F1033" s="7"/>
      <c r="G1033" s="7"/>
      <c r="H1033" s="7"/>
      <c r="I1033" s="287"/>
      <c r="J1033" s="288"/>
      <c r="K1033" s="288"/>
      <c r="L1033" s="7"/>
      <c r="M1033" s="28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</row>
    <row r="1034" ht="18.75" customHeight="1">
      <c r="A1034" s="7"/>
      <c r="B1034" s="284"/>
      <c r="C1034" s="7"/>
      <c r="D1034" s="285"/>
      <c r="E1034" s="286"/>
      <c r="F1034" s="7"/>
      <c r="G1034" s="7"/>
      <c r="H1034" s="7"/>
      <c r="I1034" s="287"/>
      <c r="J1034" s="288"/>
      <c r="K1034" s="288"/>
      <c r="L1034" s="7"/>
      <c r="M1034" s="28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</row>
    <row r="1035" ht="18.75" customHeight="1">
      <c r="A1035" s="7"/>
      <c r="B1035" s="284"/>
      <c r="C1035" s="7"/>
      <c r="D1035" s="285"/>
      <c r="E1035" s="286"/>
      <c r="F1035" s="7"/>
      <c r="G1035" s="7"/>
      <c r="H1035" s="7"/>
      <c r="I1035" s="287"/>
      <c r="J1035" s="288"/>
      <c r="K1035" s="288"/>
      <c r="L1035" s="7"/>
      <c r="M1035" s="28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</row>
    <row r="1036" ht="18.75" customHeight="1">
      <c r="A1036" s="7"/>
      <c r="B1036" s="284"/>
      <c r="C1036" s="7"/>
      <c r="D1036" s="285"/>
      <c r="E1036" s="286"/>
      <c r="F1036" s="7"/>
      <c r="G1036" s="7"/>
      <c r="H1036" s="7"/>
      <c r="I1036" s="287"/>
      <c r="J1036" s="288"/>
      <c r="K1036" s="288"/>
      <c r="L1036" s="7"/>
      <c r="M1036" s="28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</row>
    <row r="1037" ht="18.75" customHeight="1">
      <c r="A1037" s="7"/>
      <c r="B1037" s="284"/>
      <c r="C1037" s="7"/>
      <c r="D1037" s="285"/>
      <c r="E1037" s="286"/>
      <c r="F1037" s="7"/>
      <c r="G1037" s="7"/>
      <c r="H1037" s="7"/>
      <c r="I1037" s="287"/>
      <c r="J1037" s="288"/>
      <c r="K1037" s="288"/>
      <c r="L1037" s="7"/>
      <c r="M1037" s="28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</row>
    <row r="1038" ht="18.75" customHeight="1">
      <c r="A1038" s="7"/>
      <c r="B1038" s="284"/>
      <c r="C1038" s="7"/>
      <c r="D1038" s="285"/>
      <c r="E1038" s="286"/>
      <c r="F1038" s="7"/>
      <c r="G1038" s="7"/>
      <c r="H1038" s="7"/>
      <c r="I1038" s="287"/>
      <c r="J1038" s="288"/>
      <c r="K1038" s="288"/>
      <c r="L1038" s="7"/>
      <c r="M1038" s="28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</row>
    <row r="1039" ht="18.75" customHeight="1">
      <c r="A1039" s="7"/>
      <c r="B1039" s="284"/>
      <c r="C1039" s="7"/>
      <c r="D1039" s="285"/>
      <c r="E1039" s="286"/>
      <c r="F1039" s="7"/>
      <c r="G1039" s="7"/>
      <c r="H1039" s="7"/>
      <c r="I1039" s="287"/>
      <c r="J1039" s="288"/>
      <c r="K1039" s="288"/>
      <c r="L1039" s="7"/>
      <c r="M1039" s="28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</row>
    <row r="1040" ht="18.75" customHeight="1">
      <c r="A1040" s="7"/>
      <c r="B1040" s="284"/>
      <c r="C1040" s="7"/>
      <c r="D1040" s="285"/>
      <c r="E1040" s="286"/>
      <c r="F1040" s="7"/>
      <c r="G1040" s="7"/>
      <c r="H1040" s="7"/>
      <c r="I1040" s="287"/>
      <c r="J1040" s="288"/>
      <c r="K1040" s="288"/>
      <c r="L1040" s="7"/>
      <c r="M1040" s="28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</row>
    <row r="1041" ht="18.75" customHeight="1">
      <c r="A1041" s="7"/>
      <c r="B1041" s="284"/>
      <c r="C1041" s="7"/>
      <c r="D1041" s="285"/>
      <c r="E1041" s="286"/>
      <c r="F1041" s="7"/>
      <c r="G1041" s="7"/>
      <c r="H1041" s="7"/>
      <c r="I1041" s="287"/>
      <c r="J1041" s="288"/>
      <c r="K1041" s="288"/>
      <c r="L1041" s="7"/>
      <c r="M1041" s="28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</row>
    <row r="1042" ht="18.75" customHeight="1">
      <c r="A1042" s="7"/>
      <c r="B1042" s="284"/>
      <c r="C1042" s="7"/>
      <c r="D1042" s="285"/>
      <c r="E1042" s="286"/>
      <c r="F1042" s="7"/>
      <c r="G1042" s="7"/>
      <c r="H1042" s="7"/>
      <c r="I1042" s="287"/>
      <c r="J1042" s="288"/>
      <c r="K1042" s="288"/>
      <c r="L1042" s="7"/>
      <c r="M1042" s="28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</row>
    <row r="1043" ht="18.75" customHeight="1">
      <c r="A1043" s="7"/>
      <c r="B1043" s="284"/>
      <c r="C1043" s="7"/>
      <c r="D1043" s="285"/>
      <c r="E1043" s="286"/>
      <c r="F1043" s="7"/>
      <c r="G1043" s="7"/>
      <c r="H1043" s="7"/>
      <c r="I1043" s="287"/>
      <c r="J1043" s="288"/>
      <c r="K1043" s="288"/>
      <c r="L1043" s="7"/>
      <c r="M1043" s="28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</row>
    <row r="1044" ht="18.75" customHeight="1">
      <c r="A1044" s="7"/>
      <c r="B1044" s="284"/>
      <c r="C1044" s="7"/>
      <c r="D1044" s="285"/>
      <c r="E1044" s="286"/>
      <c r="F1044" s="7"/>
      <c r="G1044" s="7"/>
      <c r="H1044" s="7"/>
      <c r="I1044" s="287"/>
      <c r="J1044" s="288"/>
      <c r="K1044" s="288"/>
      <c r="L1044" s="7"/>
      <c r="M1044" s="28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</row>
    <row r="1045" ht="18.75" customHeight="1">
      <c r="A1045" s="7"/>
      <c r="B1045" s="284"/>
      <c r="C1045" s="7"/>
      <c r="D1045" s="285"/>
      <c r="E1045" s="286"/>
      <c r="F1045" s="7"/>
      <c r="G1045" s="7"/>
      <c r="H1045" s="7"/>
      <c r="I1045" s="287"/>
      <c r="J1045" s="288"/>
      <c r="K1045" s="288"/>
      <c r="L1045" s="7"/>
      <c r="M1045" s="28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</row>
    <row r="1046" ht="18.75" customHeight="1">
      <c r="A1046" s="7"/>
      <c r="B1046" s="284"/>
      <c r="C1046" s="7"/>
      <c r="D1046" s="285"/>
      <c r="E1046" s="286"/>
      <c r="F1046" s="7"/>
      <c r="G1046" s="7"/>
      <c r="H1046" s="7"/>
      <c r="I1046" s="287"/>
      <c r="J1046" s="288"/>
      <c r="K1046" s="288"/>
      <c r="L1046" s="7"/>
      <c r="M1046" s="28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</row>
    <row r="1047" ht="18.75" customHeight="1">
      <c r="A1047" s="7"/>
      <c r="B1047" s="284"/>
      <c r="C1047" s="7"/>
      <c r="D1047" s="285"/>
      <c r="E1047" s="286"/>
      <c r="F1047" s="7"/>
      <c r="G1047" s="7"/>
      <c r="H1047" s="7"/>
      <c r="I1047" s="287"/>
      <c r="J1047" s="288"/>
      <c r="K1047" s="288"/>
      <c r="L1047" s="7"/>
      <c r="M1047" s="28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</row>
    <row r="1048" ht="18.75" customHeight="1">
      <c r="A1048" s="7"/>
      <c r="B1048" s="284"/>
      <c r="C1048" s="7"/>
      <c r="D1048" s="285"/>
      <c r="E1048" s="286"/>
      <c r="F1048" s="7"/>
      <c r="G1048" s="7"/>
      <c r="H1048" s="7"/>
      <c r="I1048" s="287"/>
      <c r="J1048" s="288"/>
      <c r="K1048" s="288"/>
      <c r="L1048" s="7"/>
      <c r="M1048" s="28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</row>
    <row r="1049" ht="18.75" customHeight="1">
      <c r="A1049" s="7"/>
      <c r="B1049" s="284"/>
      <c r="C1049" s="7"/>
      <c r="D1049" s="285"/>
      <c r="E1049" s="286"/>
      <c r="F1049" s="7"/>
      <c r="G1049" s="7"/>
      <c r="H1049" s="7"/>
      <c r="I1049" s="287"/>
      <c r="J1049" s="288"/>
      <c r="K1049" s="288"/>
      <c r="L1049" s="7"/>
      <c r="M1049" s="28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</row>
    <row r="1050" ht="18.75" customHeight="1">
      <c r="A1050" s="7"/>
      <c r="B1050" s="284"/>
      <c r="C1050" s="7"/>
      <c r="D1050" s="285"/>
      <c r="E1050" s="286"/>
      <c r="F1050" s="7"/>
      <c r="G1050" s="7"/>
      <c r="H1050" s="7"/>
      <c r="I1050" s="287"/>
      <c r="J1050" s="288"/>
      <c r="K1050" s="288"/>
      <c r="L1050" s="7"/>
      <c r="M1050" s="28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</row>
    <row r="1051" ht="18.75" customHeight="1">
      <c r="A1051" s="7"/>
      <c r="B1051" s="284"/>
      <c r="C1051" s="7"/>
      <c r="D1051" s="285"/>
      <c r="E1051" s="286"/>
      <c r="F1051" s="7"/>
      <c r="G1051" s="7"/>
      <c r="H1051" s="7"/>
      <c r="I1051" s="287"/>
      <c r="J1051" s="288"/>
      <c r="K1051" s="288"/>
      <c r="L1051" s="7"/>
      <c r="M1051" s="28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</row>
    <row r="1052" ht="18.75" customHeight="1">
      <c r="A1052" s="7"/>
      <c r="B1052" s="284"/>
      <c r="C1052" s="7"/>
      <c r="D1052" s="285"/>
      <c r="E1052" s="286"/>
      <c r="F1052" s="7"/>
      <c r="G1052" s="7"/>
      <c r="H1052" s="7"/>
      <c r="I1052" s="287"/>
      <c r="J1052" s="288"/>
      <c r="K1052" s="288"/>
      <c r="L1052" s="7"/>
      <c r="M1052" s="28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</row>
    <row r="1053" ht="18.75" customHeight="1">
      <c r="A1053" s="7"/>
      <c r="B1053" s="284"/>
      <c r="C1053" s="7"/>
      <c r="D1053" s="285"/>
      <c r="E1053" s="286"/>
      <c r="F1053" s="7"/>
      <c r="G1053" s="7"/>
      <c r="H1053" s="7"/>
      <c r="I1053" s="287"/>
      <c r="J1053" s="288"/>
      <c r="K1053" s="288"/>
      <c r="L1053" s="7"/>
      <c r="M1053" s="28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</row>
    <row r="1054" ht="18.75" customHeight="1">
      <c r="A1054" s="7"/>
      <c r="B1054" s="284"/>
      <c r="C1054" s="7"/>
      <c r="D1054" s="285"/>
      <c r="E1054" s="286"/>
      <c r="F1054" s="7"/>
      <c r="G1054" s="7"/>
      <c r="H1054" s="7"/>
      <c r="I1054" s="287"/>
      <c r="J1054" s="288"/>
      <c r="K1054" s="288"/>
      <c r="L1054" s="7"/>
      <c r="M1054" s="28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</row>
    <row r="1055" ht="18.75" customHeight="1">
      <c r="A1055" s="7"/>
      <c r="B1055" s="284"/>
      <c r="C1055" s="7"/>
      <c r="D1055" s="285"/>
      <c r="E1055" s="286"/>
      <c r="F1055" s="7"/>
      <c r="G1055" s="7"/>
      <c r="H1055" s="7"/>
      <c r="I1055" s="287"/>
      <c r="J1055" s="288"/>
      <c r="K1055" s="288"/>
      <c r="L1055" s="7"/>
      <c r="M1055" s="28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</row>
    <row r="1056" ht="18.75" customHeight="1">
      <c r="A1056" s="7"/>
      <c r="B1056" s="284"/>
      <c r="C1056" s="7"/>
      <c r="D1056" s="285"/>
      <c r="E1056" s="286"/>
      <c r="F1056" s="7"/>
      <c r="G1056" s="7"/>
      <c r="H1056" s="7"/>
      <c r="I1056" s="287"/>
      <c r="J1056" s="288"/>
      <c r="K1056" s="288"/>
      <c r="L1056" s="7"/>
      <c r="M1056" s="28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</row>
    <row r="1057" ht="18.75" customHeight="1">
      <c r="A1057" s="7"/>
      <c r="B1057" s="284"/>
      <c r="C1057" s="7"/>
      <c r="D1057" s="285"/>
      <c r="E1057" s="286"/>
      <c r="F1057" s="7"/>
      <c r="G1057" s="7"/>
      <c r="H1057" s="7"/>
      <c r="I1057" s="287"/>
      <c r="J1057" s="288"/>
      <c r="K1057" s="288"/>
      <c r="L1057" s="7"/>
      <c r="M1057" s="28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</row>
    <row r="1058" ht="18.75" customHeight="1">
      <c r="A1058" s="7"/>
      <c r="B1058" s="284"/>
      <c r="C1058" s="7"/>
      <c r="D1058" s="285"/>
      <c r="E1058" s="286"/>
      <c r="F1058" s="7"/>
      <c r="G1058" s="7"/>
      <c r="H1058" s="7"/>
      <c r="I1058" s="287"/>
      <c r="J1058" s="288"/>
      <c r="K1058" s="288"/>
      <c r="L1058" s="7"/>
      <c r="M1058" s="28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</row>
    <row r="1059" ht="18.75" customHeight="1">
      <c r="A1059" s="7"/>
      <c r="B1059" s="284"/>
      <c r="C1059" s="7"/>
      <c r="D1059" s="285"/>
      <c r="E1059" s="286"/>
      <c r="F1059" s="7"/>
      <c r="G1059" s="7"/>
      <c r="H1059" s="7"/>
      <c r="I1059" s="287"/>
      <c r="J1059" s="288"/>
      <c r="K1059" s="288"/>
      <c r="L1059" s="7"/>
      <c r="M1059" s="28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</row>
    <row r="1060" ht="18.75" customHeight="1">
      <c r="A1060" s="7"/>
      <c r="B1060" s="284"/>
      <c r="C1060" s="7"/>
      <c r="D1060" s="285"/>
      <c r="E1060" s="286"/>
      <c r="F1060" s="7"/>
      <c r="G1060" s="7"/>
      <c r="H1060" s="7"/>
      <c r="I1060" s="287"/>
      <c r="J1060" s="288"/>
      <c r="K1060" s="288"/>
      <c r="L1060" s="7"/>
      <c r="M1060" s="28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</row>
    <row r="1061" ht="18.75" customHeight="1">
      <c r="A1061" s="7"/>
      <c r="B1061" s="284"/>
      <c r="C1061" s="7"/>
      <c r="D1061" s="285"/>
      <c r="E1061" s="286"/>
      <c r="F1061" s="7"/>
      <c r="G1061" s="7"/>
      <c r="H1061" s="7"/>
      <c r="I1061" s="287"/>
      <c r="J1061" s="288"/>
      <c r="K1061" s="288"/>
      <c r="L1061" s="7"/>
      <c r="M1061" s="28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</row>
    <row r="1062" ht="18.75" customHeight="1">
      <c r="A1062" s="7"/>
      <c r="B1062" s="284"/>
      <c r="C1062" s="7"/>
      <c r="D1062" s="285"/>
      <c r="E1062" s="286"/>
      <c r="F1062" s="7"/>
      <c r="G1062" s="7"/>
      <c r="H1062" s="7"/>
      <c r="I1062" s="287"/>
      <c r="J1062" s="288"/>
      <c r="K1062" s="288"/>
      <c r="L1062" s="7"/>
      <c r="M1062" s="28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</row>
    <row r="1063" ht="18.75" customHeight="1">
      <c r="A1063" s="7"/>
      <c r="B1063" s="284"/>
      <c r="C1063" s="7"/>
      <c r="D1063" s="285"/>
      <c r="E1063" s="286"/>
      <c r="F1063" s="7"/>
      <c r="G1063" s="7"/>
      <c r="H1063" s="7"/>
      <c r="I1063" s="287"/>
      <c r="J1063" s="288"/>
      <c r="K1063" s="288"/>
      <c r="L1063" s="7"/>
      <c r="M1063" s="28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</row>
    <row r="1064" ht="18.75" customHeight="1">
      <c r="A1064" s="7"/>
      <c r="B1064" s="284"/>
      <c r="C1064" s="7"/>
      <c r="D1064" s="285"/>
      <c r="E1064" s="286"/>
      <c r="F1064" s="7"/>
      <c r="G1064" s="7"/>
      <c r="H1064" s="7"/>
      <c r="I1064" s="287"/>
      <c r="J1064" s="288"/>
      <c r="K1064" s="288"/>
      <c r="L1064" s="7"/>
      <c r="M1064" s="28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</row>
    <row r="1065" ht="18.75" customHeight="1">
      <c r="A1065" s="7"/>
      <c r="B1065" s="284"/>
      <c r="C1065" s="7"/>
      <c r="D1065" s="285"/>
      <c r="E1065" s="286"/>
      <c r="F1065" s="7"/>
      <c r="G1065" s="7"/>
      <c r="H1065" s="7"/>
      <c r="I1065" s="287"/>
      <c r="J1065" s="288"/>
      <c r="K1065" s="288"/>
      <c r="L1065" s="7"/>
      <c r="M1065" s="28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</row>
    <row r="1066" ht="18.75" customHeight="1">
      <c r="A1066" s="7"/>
      <c r="B1066" s="284"/>
      <c r="C1066" s="7"/>
      <c r="D1066" s="285"/>
      <c r="E1066" s="286"/>
      <c r="F1066" s="7"/>
      <c r="G1066" s="7"/>
      <c r="H1066" s="7"/>
      <c r="I1066" s="287"/>
      <c r="J1066" s="288"/>
      <c r="K1066" s="288"/>
      <c r="L1066" s="7"/>
      <c r="M1066" s="28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</row>
    <row r="1067" ht="18.75" customHeight="1">
      <c r="A1067" s="7"/>
      <c r="B1067" s="284"/>
      <c r="C1067" s="7"/>
      <c r="D1067" s="285"/>
      <c r="E1067" s="286"/>
      <c r="F1067" s="7"/>
      <c r="G1067" s="7"/>
      <c r="H1067" s="7"/>
      <c r="I1067" s="287"/>
      <c r="J1067" s="288"/>
      <c r="K1067" s="288"/>
      <c r="L1067" s="7"/>
      <c r="M1067" s="28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</row>
    <row r="1068" ht="18.75" customHeight="1">
      <c r="A1068" s="7"/>
      <c r="B1068" s="284"/>
      <c r="C1068" s="7"/>
      <c r="D1068" s="285"/>
      <c r="E1068" s="286"/>
      <c r="F1068" s="7"/>
      <c r="G1068" s="7"/>
      <c r="H1068" s="7"/>
      <c r="I1068" s="287"/>
      <c r="J1068" s="288"/>
      <c r="K1068" s="288"/>
      <c r="L1068" s="7"/>
      <c r="M1068" s="28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</row>
    <row r="1069" ht="18.75" customHeight="1">
      <c r="A1069" s="7"/>
      <c r="B1069" s="284"/>
      <c r="C1069" s="7"/>
      <c r="D1069" s="285"/>
      <c r="E1069" s="286"/>
      <c r="F1069" s="7"/>
      <c r="G1069" s="7"/>
      <c r="H1069" s="7"/>
      <c r="I1069" s="287"/>
      <c r="J1069" s="288"/>
      <c r="K1069" s="288"/>
      <c r="L1069" s="7"/>
      <c r="M1069" s="28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</row>
    <row r="1070" ht="18.75" customHeight="1">
      <c r="A1070" s="7"/>
      <c r="B1070" s="284"/>
      <c r="C1070" s="7"/>
      <c r="D1070" s="285"/>
      <c r="E1070" s="286"/>
      <c r="F1070" s="7"/>
      <c r="G1070" s="7"/>
      <c r="H1070" s="7"/>
      <c r="I1070" s="287"/>
      <c r="J1070" s="288"/>
      <c r="K1070" s="288"/>
      <c r="L1070" s="7"/>
      <c r="M1070" s="28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</row>
    <row r="1071" ht="18.75" customHeight="1">
      <c r="A1071" s="7"/>
      <c r="B1071" s="284"/>
      <c r="C1071" s="7"/>
      <c r="D1071" s="285"/>
      <c r="E1071" s="286"/>
      <c r="F1071" s="7"/>
      <c r="G1071" s="7"/>
      <c r="H1071" s="7"/>
      <c r="I1071" s="287"/>
      <c r="J1071" s="288"/>
      <c r="K1071" s="288"/>
      <c r="L1071" s="7"/>
      <c r="M1071" s="28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</row>
    <row r="1072" ht="18.75" customHeight="1">
      <c r="A1072" s="7"/>
      <c r="B1072" s="284"/>
      <c r="C1072" s="7"/>
      <c r="D1072" s="285"/>
      <c r="E1072" s="286"/>
      <c r="F1072" s="7"/>
      <c r="G1072" s="7"/>
      <c r="H1072" s="7"/>
      <c r="I1072" s="287"/>
      <c r="J1072" s="288"/>
      <c r="K1072" s="288"/>
      <c r="L1072" s="7"/>
      <c r="M1072" s="28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</row>
    <row r="1073" ht="18.75" customHeight="1">
      <c r="A1073" s="7"/>
      <c r="B1073" s="284"/>
      <c r="C1073" s="7"/>
      <c r="D1073" s="285"/>
      <c r="E1073" s="286"/>
      <c r="F1073" s="7"/>
      <c r="G1073" s="7"/>
      <c r="H1073" s="7"/>
      <c r="I1073" s="287"/>
      <c r="J1073" s="288"/>
      <c r="K1073" s="288"/>
      <c r="L1073" s="7"/>
      <c r="M1073" s="28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</row>
    <row r="1074" ht="18.75" customHeight="1">
      <c r="A1074" s="7"/>
      <c r="B1074" s="284"/>
      <c r="C1074" s="7"/>
      <c r="D1074" s="285"/>
      <c r="E1074" s="286"/>
      <c r="F1074" s="7"/>
      <c r="G1074" s="7"/>
      <c r="H1074" s="7"/>
      <c r="I1074" s="287"/>
      <c r="J1074" s="288"/>
      <c r="K1074" s="288"/>
      <c r="L1074" s="7"/>
      <c r="M1074" s="28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</row>
    <row r="1075" ht="18.75" customHeight="1">
      <c r="A1075" s="7"/>
      <c r="B1075" s="284"/>
      <c r="C1075" s="7"/>
      <c r="D1075" s="285"/>
      <c r="E1075" s="286"/>
      <c r="F1075" s="7"/>
      <c r="G1075" s="7"/>
      <c r="H1075" s="7"/>
      <c r="I1075" s="287"/>
      <c r="J1075" s="288"/>
      <c r="K1075" s="288"/>
      <c r="L1075" s="7"/>
      <c r="M1075" s="28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</row>
    <row r="1076" ht="18.75" customHeight="1">
      <c r="A1076" s="7"/>
      <c r="B1076" s="284"/>
      <c r="C1076" s="7"/>
      <c r="D1076" s="285"/>
      <c r="E1076" s="286"/>
      <c r="F1076" s="7"/>
      <c r="G1076" s="7"/>
      <c r="H1076" s="7"/>
      <c r="I1076" s="287"/>
      <c r="J1076" s="288"/>
      <c r="K1076" s="288"/>
      <c r="L1076" s="7"/>
      <c r="M1076" s="28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</row>
    <row r="1077" ht="18.75" customHeight="1">
      <c r="A1077" s="7"/>
      <c r="B1077" s="284"/>
      <c r="C1077" s="7"/>
      <c r="D1077" s="285"/>
      <c r="E1077" s="286"/>
      <c r="F1077" s="7"/>
      <c r="G1077" s="7"/>
      <c r="H1077" s="7"/>
      <c r="I1077" s="287"/>
      <c r="J1077" s="288"/>
      <c r="K1077" s="288"/>
      <c r="L1077" s="7"/>
      <c r="M1077" s="28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</row>
    <row r="1078" ht="18.75" customHeight="1">
      <c r="A1078" s="7"/>
      <c r="B1078" s="284"/>
      <c r="C1078" s="7"/>
      <c r="D1078" s="285"/>
      <c r="E1078" s="286"/>
      <c r="F1078" s="7"/>
      <c r="G1078" s="7"/>
      <c r="H1078" s="7"/>
      <c r="I1078" s="287"/>
      <c r="J1078" s="288"/>
      <c r="K1078" s="288"/>
      <c r="L1078" s="7"/>
      <c r="M1078" s="28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</row>
    <row r="1079" ht="18.75" customHeight="1">
      <c r="A1079" s="7"/>
      <c r="B1079" s="284"/>
      <c r="C1079" s="7"/>
      <c r="D1079" s="285"/>
      <c r="E1079" s="286"/>
      <c r="F1079" s="7"/>
      <c r="G1079" s="7"/>
      <c r="H1079" s="7"/>
      <c r="I1079" s="287"/>
      <c r="J1079" s="288"/>
      <c r="K1079" s="288"/>
      <c r="L1079" s="7"/>
      <c r="M1079" s="28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</row>
    <row r="1080" ht="18.75" customHeight="1">
      <c r="A1080" s="7"/>
      <c r="B1080" s="284"/>
      <c r="C1080" s="7"/>
      <c r="D1080" s="285"/>
      <c r="E1080" s="286"/>
      <c r="F1080" s="7"/>
      <c r="G1080" s="7"/>
      <c r="H1080" s="7"/>
      <c r="I1080" s="287"/>
      <c r="J1080" s="288"/>
      <c r="K1080" s="288"/>
      <c r="L1080" s="7"/>
      <c r="M1080" s="28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</row>
    <row r="1081" ht="18.75" customHeight="1">
      <c r="A1081" s="7"/>
      <c r="B1081" s="284"/>
      <c r="C1081" s="7"/>
      <c r="D1081" s="285"/>
      <c r="E1081" s="286"/>
      <c r="F1081" s="7"/>
      <c r="G1081" s="7"/>
      <c r="H1081" s="7"/>
      <c r="I1081" s="287"/>
      <c r="J1081" s="288"/>
      <c r="K1081" s="288"/>
      <c r="L1081" s="7"/>
      <c r="M1081" s="28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</row>
    <row r="1082" ht="18.75" customHeight="1">
      <c r="A1082" s="7"/>
      <c r="B1082" s="284"/>
      <c r="C1082" s="7"/>
      <c r="D1082" s="285"/>
      <c r="E1082" s="286"/>
      <c r="F1082" s="7"/>
      <c r="G1082" s="7"/>
      <c r="H1082" s="7"/>
      <c r="I1082" s="287"/>
      <c r="J1082" s="288"/>
      <c r="K1082" s="288"/>
      <c r="L1082" s="7"/>
      <c r="M1082" s="28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</row>
    <row r="1083" ht="18.75" customHeight="1">
      <c r="A1083" s="7"/>
      <c r="B1083" s="284"/>
      <c r="C1083" s="7"/>
      <c r="D1083" s="285"/>
      <c r="E1083" s="286"/>
      <c r="F1083" s="7"/>
      <c r="G1083" s="7"/>
      <c r="H1083" s="7"/>
      <c r="I1083" s="287"/>
      <c r="J1083" s="288"/>
      <c r="K1083" s="288"/>
      <c r="L1083" s="7"/>
      <c r="M1083" s="28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</row>
    <row r="1084" ht="18.75" customHeight="1">
      <c r="A1084" s="7"/>
      <c r="B1084" s="284"/>
      <c r="C1084" s="7"/>
      <c r="D1084" s="285"/>
      <c r="E1084" s="286"/>
      <c r="F1084" s="7"/>
      <c r="G1084" s="7"/>
      <c r="H1084" s="7"/>
      <c r="I1084" s="287"/>
      <c r="J1084" s="288"/>
      <c r="K1084" s="288"/>
      <c r="L1084" s="7"/>
      <c r="M1084" s="28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</row>
    <row r="1085" ht="18.75" customHeight="1">
      <c r="A1085" s="7"/>
      <c r="B1085" s="284"/>
      <c r="C1085" s="7"/>
      <c r="D1085" s="285"/>
      <c r="E1085" s="286"/>
      <c r="F1085" s="7"/>
      <c r="G1085" s="7"/>
      <c r="H1085" s="7"/>
      <c r="I1085" s="287"/>
      <c r="J1085" s="288"/>
      <c r="K1085" s="288"/>
      <c r="L1085" s="7"/>
      <c r="M1085" s="28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</row>
    <row r="1086" ht="18.75" customHeight="1">
      <c r="A1086" s="7"/>
      <c r="B1086" s="284"/>
      <c r="C1086" s="7"/>
      <c r="D1086" s="285"/>
      <c r="E1086" s="286"/>
      <c r="F1086" s="7"/>
      <c r="G1086" s="7"/>
      <c r="H1086" s="7"/>
      <c r="I1086" s="287"/>
      <c r="J1086" s="288"/>
      <c r="K1086" s="288"/>
      <c r="L1086" s="7"/>
      <c r="M1086" s="28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</row>
    <row r="1087" ht="18.75" customHeight="1">
      <c r="A1087" s="7"/>
      <c r="B1087" s="284"/>
      <c r="C1087" s="7"/>
      <c r="D1087" s="285"/>
      <c r="E1087" s="286"/>
      <c r="F1087" s="7"/>
      <c r="G1087" s="7"/>
      <c r="H1087" s="7"/>
      <c r="I1087" s="287"/>
      <c r="J1087" s="288"/>
      <c r="K1087" s="288"/>
      <c r="L1087" s="7"/>
      <c r="M1087" s="28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</row>
    <row r="1088" ht="18.75" customHeight="1">
      <c r="A1088" s="7"/>
      <c r="B1088" s="284"/>
      <c r="C1088" s="7"/>
      <c r="D1088" s="285"/>
      <c r="E1088" s="286"/>
      <c r="F1088" s="7"/>
      <c r="G1088" s="7"/>
      <c r="H1088" s="7"/>
      <c r="I1088" s="287"/>
      <c r="J1088" s="288"/>
      <c r="K1088" s="288"/>
      <c r="L1088" s="7"/>
      <c r="M1088" s="28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</row>
    <row r="1089" ht="18.75" customHeight="1">
      <c r="A1089" s="7"/>
      <c r="B1089" s="284"/>
      <c r="C1089" s="7"/>
      <c r="D1089" s="285"/>
      <c r="E1089" s="286"/>
      <c r="F1089" s="7"/>
      <c r="G1089" s="7"/>
      <c r="H1089" s="7"/>
      <c r="I1089" s="287"/>
      <c r="J1089" s="288"/>
      <c r="K1089" s="288"/>
      <c r="L1089" s="7"/>
      <c r="M1089" s="28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</row>
    <row r="1090" ht="18.75" customHeight="1">
      <c r="A1090" s="7"/>
      <c r="B1090" s="284"/>
      <c r="C1090" s="7"/>
      <c r="D1090" s="285"/>
      <c r="E1090" s="286"/>
      <c r="F1090" s="7"/>
      <c r="G1090" s="7"/>
      <c r="H1090" s="7"/>
      <c r="I1090" s="287"/>
      <c r="J1090" s="288"/>
      <c r="K1090" s="288"/>
      <c r="L1090" s="7"/>
      <c r="M1090" s="28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</row>
    <row r="1091" ht="18.75" customHeight="1">
      <c r="A1091" s="7"/>
      <c r="B1091" s="284"/>
      <c r="C1091" s="7"/>
      <c r="D1091" s="285"/>
      <c r="E1091" s="286"/>
      <c r="F1091" s="7"/>
      <c r="G1091" s="7"/>
      <c r="H1091" s="7"/>
      <c r="I1091" s="287"/>
      <c r="J1091" s="288"/>
      <c r="K1091" s="288"/>
      <c r="L1091" s="7"/>
      <c r="M1091" s="28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</row>
    <row r="1092" ht="18.75" customHeight="1">
      <c r="A1092" s="7"/>
      <c r="B1092" s="284"/>
      <c r="C1092" s="7"/>
      <c r="D1092" s="285"/>
      <c r="E1092" s="286"/>
      <c r="F1092" s="7"/>
      <c r="G1092" s="7"/>
      <c r="H1092" s="7"/>
      <c r="I1092" s="287"/>
      <c r="J1092" s="288"/>
      <c r="K1092" s="288"/>
      <c r="L1092" s="7"/>
      <c r="M1092" s="28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</row>
    <row r="1093" ht="18.75" customHeight="1">
      <c r="A1093" s="7"/>
      <c r="B1093" s="284"/>
      <c r="C1093" s="7"/>
      <c r="D1093" s="285"/>
      <c r="E1093" s="286"/>
      <c r="F1093" s="7"/>
      <c r="G1093" s="7"/>
      <c r="H1093" s="7"/>
      <c r="I1093" s="287"/>
      <c r="J1093" s="288"/>
      <c r="K1093" s="288"/>
      <c r="L1093" s="7"/>
      <c r="M1093" s="28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</row>
    <row r="1094" ht="18.75" customHeight="1">
      <c r="A1094" s="7"/>
      <c r="B1094" s="284"/>
      <c r="C1094" s="7"/>
      <c r="D1094" s="285"/>
      <c r="E1094" s="286"/>
      <c r="F1094" s="7"/>
      <c r="G1094" s="7"/>
      <c r="H1094" s="7"/>
      <c r="I1094" s="287"/>
      <c r="J1094" s="288"/>
      <c r="K1094" s="288"/>
      <c r="L1094" s="7"/>
      <c r="M1094" s="28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</row>
    <row r="1095" ht="18.75" customHeight="1">
      <c r="A1095" s="7"/>
      <c r="B1095" s="284"/>
      <c r="C1095" s="7"/>
      <c r="D1095" s="285"/>
      <c r="E1095" s="286"/>
      <c r="F1095" s="7"/>
      <c r="G1095" s="7"/>
      <c r="H1095" s="7"/>
      <c r="I1095" s="287"/>
      <c r="J1095" s="288"/>
      <c r="K1095" s="288"/>
      <c r="L1095" s="7"/>
      <c r="M1095" s="28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</row>
    <row r="1096" ht="18.75" customHeight="1">
      <c r="A1096" s="7"/>
      <c r="B1096" s="284"/>
      <c r="C1096" s="7"/>
      <c r="D1096" s="285"/>
      <c r="E1096" s="286"/>
      <c r="F1096" s="7"/>
      <c r="G1096" s="7"/>
      <c r="H1096" s="7"/>
      <c r="I1096" s="287"/>
      <c r="J1096" s="288"/>
      <c r="K1096" s="288"/>
      <c r="L1096" s="7"/>
      <c r="M1096" s="28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</row>
    <row r="1097" ht="18.75" customHeight="1">
      <c r="A1097" s="7"/>
      <c r="B1097" s="284"/>
      <c r="C1097" s="7"/>
      <c r="D1097" s="285"/>
      <c r="E1097" s="286"/>
      <c r="F1097" s="7"/>
      <c r="G1097" s="7"/>
      <c r="H1097" s="7"/>
      <c r="I1097" s="287"/>
      <c r="J1097" s="288"/>
      <c r="K1097" s="288"/>
      <c r="L1097" s="7"/>
      <c r="M1097" s="28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</row>
    <row r="1098" ht="18.75" customHeight="1">
      <c r="A1098" s="7"/>
      <c r="B1098" s="284"/>
      <c r="C1098" s="7"/>
      <c r="D1098" s="285"/>
      <c r="E1098" s="286"/>
      <c r="F1098" s="7"/>
      <c r="G1098" s="7"/>
      <c r="H1098" s="7"/>
      <c r="I1098" s="287"/>
      <c r="J1098" s="288"/>
      <c r="K1098" s="288"/>
      <c r="L1098" s="7"/>
      <c r="M1098" s="28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</row>
    <row r="1099" ht="18.75" customHeight="1">
      <c r="A1099" s="7"/>
      <c r="B1099" s="284"/>
      <c r="C1099" s="7"/>
      <c r="D1099" s="285"/>
      <c r="E1099" s="286"/>
      <c r="F1099" s="7"/>
      <c r="G1099" s="7"/>
      <c r="H1099" s="7"/>
      <c r="I1099" s="287"/>
      <c r="J1099" s="288"/>
      <c r="K1099" s="288"/>
      <c r="L1099" s="7"/>
      <c r="M1099" s="28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</row>
    <row r="1100" ht="18.75" customHeight="1">
      <c r="A1100" s="7"/>
      <c r="B1100" s="284"/>
      <c r="C1100" s="7"/>
      <c r="D1100" s="285"/>
      <c r="E1100" s="286"/>
      <c r="F1100" s="7"/>
      <c r="G1100" s="7"/>
      <c r="H1100" s="7"/>
      <c r="I1100" s="287"/>
      <c r="J1100" s="288"/>
      <c r="K1100" s="288"/>
      <c r="L1100" s="7"/>
      <c r="M1100" s="28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</row>
    <row r="1101" ht="18.75" customHeight="1">
      <c r="A1101" s="7"/>
      <c r="B1101" s="284"/>
      <c r="C1101" s="7"/>
      <c r="D1101" s="285"/>
      <c r="E1101" s="286"/>
      <c r="F1101" s="7"/>
      <c r="G1101" s="7"/>
      <c r="H1101" s="7"/>
      <c r="I1101" s="287"/>
      <c r="J1101" s="288"/>
      <c r="K1101" s="288"/>
      <c r="L1101" s="7"/>
      <c r="M1101" s="28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</row>
    <row r="1102" ht="18.75" customHeight="1">
      <c r="A1102" s="7"/>
      <c r="B1102" s="284"/>
      <c r="C1102" s="7"/>
      <c r="D1102" s="285"/>
      <c r="E1102" s="286"/>
      <c r="F1102" s="7"/>
      <c r="G1102" s="7"/>
      <c r="H1102" s="7"/>
      <c r="I1102" s="287"/>
      <c r="J1102" s="288"/>
      <c r="K1102" s="288"/>
      <c r="L1102" s="7"/>
      <c r="M1102" s="28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</row>
    <row r="1103" ht="18.75" customHeight="1">
      <c r="A1103" s="7"/>
      <c r="B1103" s="284"/>
      <c r="C1103" s="7"/>
      <c r="D1103" s="285"/>
      <c r="E1103" s="286"/>
      <c r="F1103" s="7"/>
      <c r="G1103" s="7"/>
      <c r="H1103" s="7"/>
      <c r="I1103" s="287"/>
      <c r="J1103" s="288"/>
      <c r="K1103" s="288"/>
      <c r="L1103" s="7"/>
      <c r="M1103" s="28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</row>
    <row r="1104" ht="18.75" customHeight="1">
      <c r="A1104" s="7"/>
      <c r="B1104" s="284"/>
      <c r="C1104" s="7"/>
      <c r="D1104" s="285"/>
      <c r="E1104" s="286"/>
      <c r="F1104" s="7"/>
      <c r="G1104" s="7"/>
      <c r="H1104" s="7"/>
      <c r="I1104" s="287"/>
      <c r="J1104" s="288"/>
      <c r="K1104" s="288"/>
      <c r="L1104" s="7"/>
      <c r="M1104" s="28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</row>
    <row r="1105" ht="18.75" customHeight="1">
      <c r="A1105" s="7"/>
      <c r="B1105" s="284"/>
      <c r="C1105" s="7"/>
      <c r="D1105" s="285"/>
      <c r="E1105" s="286"/>
      <c r="F1105" s="7"/>
      <c r="G1105" s="7"/>
      <c r="H1105" s="7"/>
      <c r="I1105" s="287"/>
      <c r="J1105" s="288"/>
      <c r="K1105" s="288"/>
      <c r="L1105" s="7"/>
      <c r="M1105" s="28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</row>
    <row r="1106" ht="18.75" customHeight="1">
      <c r="A1106" s="7"/>
      <c r="B1106" s="284"/>
      <c r="C1106" s="7"/>
      <c r="D1106" s="285"/>
      <c r="E1106" s="286"/>
      <c r="F1106" s="7"/>
      <c r="G1106" s="7"/>
      <c r="H1106" s="7"/>
      <c r="I1106" s="287"/>
      <c r="J1106" s="288"/>
      <c r="K1106" s="288"/>
      <c r="L1106" s="7"/>
      <c r="M1106" s="28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</row>
    <row r="1107" ht="18.75" customHeight="1">
      <c r="A1107" s="7"/>
      <c r="B1107" s="284"/>
      <c r="C1107" s="7"/>
      <c r="D1107" s="285"/>
      <c r="E1107" s="286"/>
      <c r="F1107" s="7"/>
      <c r="G1107" s="7"/>
      <c r="H1107" s="7"/>
      <c r="I1107" s="287"/>
      <c r="J1107" s="288"/>
      <c r="K1107" s="288"/>
      <c r="L1107" s="7"/>
      <c r="M1107" s="28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</row>
    <row r="1108" ht="18.75" customHeight="1">
      <c r="A1108" s="7"/>
      <c r="B1108" s="284"/>
      <c r="C1108" s="7"/>
      <c r="D1108" s="285"/>
      <c r="E1108" s="286"/>
      <c r="F1108" s="7"/>
      <c r="G1108" s="7"/>
      <c r="H1108" s="7"/>
      <c r="I1108" s="287"/>
      <c r="J1108" s="288"/>
      <c r="K1108" s="288"/>
      <c r="L1108" s="7"/>
      <c r="M1108" s="28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</row>
    <row r="1109" ht="18.75" customHeight="1">
      <c r="A1109" s="7"/>
      <c r="B1109" s="284"/>
      <c r="C1109" s="7"/>
      <c r="D1109" s="285"/>
      <c r="E1109" s="286"/>
      <c r="F1109" s="7"/>
      <c r="G1109" s="7"/>
      <c r="H1109" s="7"/>
      <c r="I1109" s="287"/>
      <c r="J1109" s="288"/>
      <c r="K1109" s="288"/>
      <c r="L1109" s="7"/>
      <c r="M1109" s="28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</row>
    <row r="1110" ht="18.75" customHeight="1">
      <c r="A1110" s="7"/>
      <c r="B1110" s="284"/>
      <c r="C1110" s="7"/>
      <c r="D1110" s="285"/>
      <c r="E1110" s="286"/>
      <c r="F1110" s="7"/>
      <c r="G1110" s="7"/>
      <c r="H1110" s="7"/>
      <c r="I1110" s="287"/>
      <c r="J1110" s="288"/>
      <c r="K1110" s="288"/>
      <c r="L1110" s="7"/>
      <c r="M1110" s="28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</row>
    <row r="1111" ht="18.75" customHeight="1">
      <c r="A1111" s="7"/>
      <c r="B1111" s="284"/>
      <c r="C1111" s="7"/>
      <c r="D1111" s="285"/>
      <c r="E1111" s="286"/>
      <c r="F1111" s="7"/>
      <c r="G1111" s="7"/>
      <c r="H1111" s="7"/>
      <c r="I1111" s="287"/>
      <c r="J1111" s="288"/>
      <c r="K1111" s="288"/>
      <c r="L1111" s="7"/>
      <c r="M1111" s="28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</row>
    <row r="1112" ht="18.75" customHeight="1">
      <c r="A1112" s="7"/>
      <c r="B1112" s="284"/>
      <c r="C1112" s="7"/>
      <c r="D1112" s="285"/>
      <c r="E1112" s="286"/>
      <c r="F1112" s="7"/>
      <c r="G1112" s="7"/>
      <c r="H1112" s="7"/>
      <c r="I1112" s="287"/>
      <c r="J1112" s="288"/>
      <c r="K1112" s="288"/>
      <c r="L1112" s="7"/>
      <c r="M1112" s="28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</row>
    <row r="1113" ht="18.75" customHeight="1">
      <c r="A1113" s="7"/>
      <c r="B1113" s="284"/>
      <c r="C1113" s="7"/>
      <c r="D1113" s="285"/>
      <c r="E1113" s="286"/>
      <c r="F1113" s="7"/>
      <c r="G1113" s="7"/>
      <c r="H1113" s="7"/>
      <c r="I1113" s="287"/>
      <c r="J1113" s="288"/>
      <c r="K1113" s="288"/>
      <c r="L1113" s="7"/>
      <c r="M1113" s="28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</row>
    <row r="1114" ht="18.75" customHeight="1">
      <c r="A1114" s="7"/>
      <c r="B1114" s="284"/>
      <c r="C1114" s="7"/>
      <c r="D1114" s="285"/>
      <c r="E1114" s="286"/>
      <c r="F1114" s="7"/>
      <c r="G1114" s="7"/>
      <c r="H1114" s="7"/>
      <c r="I1114" s="287"/>
      <c r="J1114" s="288"/>
      <c r="K1114" s="288"/>
      <c r="L1114" s="7"/>
      <c r="M1114" s="28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</row>
    <row r="1115" ht="18.75" customHeight="1">
      <c r="A1115" s="7"/>
      <c r="B1115" s="284"/>
      <c r="C1115" s="7"/>
      <c r="D1115" s="285"/>
      <c r="E1115" s="286"/>
      <c r="F1115" s="7"/>
      <c r="G1115" s="7"/>
      <c r="H1115" s="7"/>
      <c r="I1115" s="287"/>
      <c r="J1115" s="288"/>
      <c r="K1115" s="288"/>
      <c r="L1115" s="7"/>
      <c r="M1115" s="28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</row>
    <row r="1116" ht="18.75" customHeight="1">
      <c r="A1116" s="7"/>
      <c r="B1116" s="284"/>
      <c r="C1116" s="7"/>
      <c r="D1116" s="285"/>
      <c r="E1116" s="286"/>
      <c r="F1116" s="7"/>
      <c r="G1116" s="7"/>
      <c r="H1116" s="7"/>
      <c r="I1116" s="287"/>
      <c r="J1116" s="288"/>
      <c r="K1116" s="288"/>
      <c r="L1116" s="7"/>
      <c r="M1116" s="28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</row>
    <row r="1117" ht="18.75" customHeight="1">
      <c r="A1117" s="7"/>
      <c r="B1117" s="284"/>
      <c r="C1117" s="7"/>
      <c r="D1117" s="285"/>
      <c r="E1117" s="286"/>
      <c r="F1117" s="7"/>
      <c r="G1117" s="7"/>
      <c r="H1117" s="7"/>
      <c r="I1117" s="287"/>
      <c r="J1117" s="288"/>
      <c r="K1117" s="288"/>
      <c r="L1117" s="7"/>
      <c r="M1117" s="28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</row>
    <row r="1118" ht="18.75" customHeight="1">
      <c r="A1118" s="7"/>
      <c r="B1118" s="284"/>
      <c r="C1118" s="7"/>
      <c r="D1118" s="285"/>
      <c r="E1118" s="286"/>
      <c r="F1118" s="7"/>
      <c r="G1118" s="7"/>
      <c r="H1118" s="7"/>
      <c r="I1118" s="287"/>
      <c r="J1118" s="288"/>
      <c r="K1118" s="288"/>
      <c r="L1118" s="7"/>
      <c r="M1118" s="28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</row>
    <row r="1119" ht="18.75" customHeight="1">
      <c r="A1119" s="7"/>
      <c r="B1119" s="284"/>
      <c r="C1119" s="7"/>
      <c r="D1119" s="285"/>
      <c r="E1119" s="286"/>
      <c r="F1119" s="7"/>
      <c r="G1119" s="7"/>
      <c r="H1119" s="7"/>
      <c r="I1119" s="287"/>
      <c r="J1119" s="288"/>
      <c r="K1119" s="288"/>
      <c r="L1119" s="7"/>
      <c r="M1119" s="28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</row>
    <row r="1120" ht="18.75" customHeight="1">
      <c r="A1120" s="7"/>
      <c r="B1120" s="284"/>
      <c r="C1120" s="7"/>
      <c r="D1120" s="285"/>
      <c r="E1120" s="286"/>
      <c r="F1120" s="7"/>
      <c r="G1120" s="7"/>
      <c r="H1120" s="7"/>
      <c r="I1120" s="287"/>
      <c r="J1120" s="288"/>
      <c r="K1120" s="288"/>
      <c r="L1120" s="7"/>
      <c r="M1120" s="28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</row>
    <row r="1121" ht="18.75" customHeight="1">
      <c r="A1121" s="7"/>
      <c r="B1121" s="284"/>
      <c r="C1121" s="7"/>
      <c r="D1121" s="285"/>
      <c r="E1121" s="286"/>
      <c r="F1121" s="7"/>
      <c r="G1121" s="7"/>
      <c r="H1121" s="7"/>
      <c r="I1121" s="287"/>
      <c r="J1121" s="288"/>
      <c r="K1121" s="288"/>
      <c r="L1121" s="7"/>
      <c r="M1121" s="28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</row>
    <row r="1122" ht="18.75" customHeight="1">
      <c r="A1122" s="7"/>
      <c r="B1122" s="284"/>
      <c r="C1122" s="7"/>
      <c r="D1122" s="285"/>
      <c r="E1122" s="286"/>
      <c r="F1122" s="7"/>
      <c r="G1122" s="7"/>
      <c r="H1122" s="7"/>
      <c r="I1122" s="287"/>
      <c r="J1122" s="288"/>
      <c r="K1122" s="288"/>
      <c r="L1122" s="7"/>
      <c r="M1122" s="28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</row>
    <row r="1123" ht="18.75" customHeight="1">
      <c r="A1123" s="7"/>
      <c r="B1123" s="284"/>
      <c r="C1123" s="7"/>
      <c r="D1123" s="285"/>
      <c r="E1123" s="286"/>
      <c r="F1123" s="7"/>
      <c r="G1123" s="7"/>
      <c r="H1123" s="7"/>
      <c r="I1123" s="287"/>
      <c r="J1123" s="288"/>
      <c r="K1123" s="288"/>
      <c r="L1123" s="7"/>
      <c r="M1123" s="28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</row>
    <row r="1124" ht="18.75" customHeight="1">
      <c r="A1124" s="7"/>
      <c r="B1124" s="284"/>
      <c r="C1124" s="7"/>
      <c r="D1124" s="285"/>
      <c r="E1124" s="286"/>
      <c r="F1124" s="7"/>
      <c r="G1124" s="7"/>
      <c r="H1124" s="7"/>
      <c r="I1124" s="287"/>
      <c r="J1124" s="288"/>
      <c r="K1124" s="288"/>
      <c r="L1124" s="7"/>
      <c r="M1124" s="28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</row>
    <row r="1125" ht="18.75" customHeight="1">
      <c r="A1125" s="7"/>
      <c r="B1125" s="284"/>
      <c r="C1125" s="7"/>
      <c r="D1125" s="285"/>
      <c r="E1125" s="286"/>
      <c r="F1125" s="7"/>
      <c r="G1125" s="7"/>
      <c r="H1125" s="7"/>
      <c r="I1125" s="287"/>
      <c r="J1125" s="288"/>
      <c r="K1125" s="288"/>
      <c r="L1125" s="7"/>
      <c r="M1125" s="28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</row>
    <row r="1126" ht="18.75" customHeight="1">
      <c r="A1126" s="7"/>
      <c r="B1126" s="284"/>
      <c r="C1126" s="7"/>
      <c r="D1126" s="285"/>
      <c r="E1126" s="286"/>
      <c r="F1126" s="7"/>
      <c r="G1126" s="7"/>
      <c r="H1126" s="7"/>
      <c r="I1126" s="287"/>
      <c r="J1126" s="288"/>
      <c r="K1126" s="288"/>
      <c r="L1126" s="7"/>
      <c r="M1126" s="28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</row>
    <row r="1127" ht="18.75" customHeight="1">
      <c r="A1127" s="7"/>
      <c r="B1127" s="284"/>
      <c r="C1127" s="7"/>
      <c r="D1127" s="285"/>
      <c r="E1127" s="286"/>
      <c r="F1127" s="7"/>
      <c r="G1127" s="7"/>
      <c r="H1127" s="7"/>
      <c r="I1127" s="287"/>
      <c r="J1127" s="288"/>
      <c r="K1127" s="288"/>
      <c r="L1127" s="7"/>
      <c r="M1127" s="28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</row>
    <row r="1128" ht="18.75" customHeight="1">
      <c r="A1128" s="7"/>
      <c r="B1128" s="284"/>
      <c r="C1128" s="7"/>
      <c r="D1128" s="285"/>
      <c r="E1128" s="286"/>
      <c r="F1128" s="7"/>
      <c r="G1128" s="7"/>
      <c r="H1128" s="7"/>
      <c r="I1128" s="287"/>
      <c r="J1128" s="288"/>
      <c r="K1128" s="288"/>
      <c r="L1128" s="7"/>
      <c r="M1128" s="28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</row>
    <row r="1129" ht="18.75" customHeight="1">
      <c r="A1129" s="7"/>
      <c r="B1129" s="284"/>
      <c r="C1129" s="7"/>
      <c r="D1129" s="285"/>
      <c r="E1129" s="286"/>
      <c r="F1129" s="7"/>
      <c r="G1129" s="7"/>
      <c r="H1129" s="7"/>
      <c r="I1129" s="287"/>
      <c r="J1129" s="288"/>
      <c r="K1129" s="288"/>
      <c r="L1129" s="7"/>
      <c r="M1129" s="28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</row>
    <row r="1130" ht="18.75" customHeight="1">
      <c r="A1130" s="7"/>
      <c r="B1130" s="284"/>
      <c r="C1130" s="7"/>
      <c r="D1130" s="285"/>
      <c r="E1130" s="286"/>
      <c r="F1130" s="7"/>
      <c r="G1130" s="7"/>
      <c r="H1130" s="7"/>
      <c r="I1130" s="287"/>
      <c r="J1130" s="288"/>
      <c r="K1130" s="288"/>
      <c r="L1130" s="7"/>
      <c r="M1130" s="28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</row>
    <row r="1131" ht="18.75" customHeight="1">
      <c r="A1131" s="7"/>
      <c r="B1131" s="284"/>
      <c r="C1131" s="7"/>
      <c r="D1131" s="285"/>
      <c r="E1131" s="286"/>
      <c r="F1131" s="7"/>
      <c r="G1131" s="7"/>
      <c r="H1131" s="7"/>
      <c r="I1131" s="287"/>
      <c r="J1131" s="288"/>
      <c r="K1131" s="288"/>
      <c r="L1131" s="7"/>
      <c r="M1131" s="28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</row>
    <row r="1132" ht="18.75" customHeight="1">
      <c r="A1132" s="7"/>
      <c r="B1132" s="284"/>
      <c r="C1132" s="7"/>
      <c r="D1132" s="285"/>
      <c r="E1132" s="286"/>
      <c r="F1132" s="7"/>
      <c r="G1132" s="7"/>
      <c r="H1132" s="7"/>
      <c r="I1132" s="287"/>
      <c r="J1132" s="288"/>
      <c r="K1132" s="288"/>
      <c r="L1132" s="7"/>
      <c r="M1132" s="28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</row>
    <row r="1133" ht="18.75" customHeight="1">
      <c r="A1133" s="7"/>
      <c r="B1133" s="284"/>
      <c r="C1133" s="7"/>
      <c r="D1133" s="285"/>
      <c r="E1133" s="286"/>
      <c r="F1133" s="7"/>
      <c r="G1133" s="7"/>
      <c r="H1133" s="7"/>
      <c r="I1133" s="287"/>
      <c r="J1133" s="288"/>
      <c r="K1133" s="288"/>
      <c r="L1133" s="7"/>
      <c r="M1133" s="28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</row>
    <row r="1134" ht="18.75" customHeight="1">
      <c r="A1134" s="7"/>
      <c r="B1134" s="284"/>
      <c r="C1134" s="7"/>
      <c r="D1134" s="285"/>
      <c r="E1134" s="286"/>
      <c r="F1134" s="7"/>
      <c r="G1134" s="7"/>
      <c r="H1134" s="7"/>
      <c r="I1134" s="287"/>
      <c r="J1134" s="288"/>
      <c r="K1134" s="288"/>
      <c r="L1134" s="7"/>
      <c r="M1134" s="28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</row>
    <row r="1135" ht="18.75" customHeight="1">
      <c r="A1135" s="7"/>
      <c r="B1135" s="284"/>
      <c r="C1135" s="7"/>
      <c r="D1135" s="285"/>
      <c r="E1135" s="286"/>
      <c r="F1135" s="7"/>
      <c r="G1135" s="7"/>
      <c r="H1135" s="7"/>
      <c r="I1135" s="287"/>
      <c r="J1135" s="288"/>
      <c r="K1135" s="288"/>
      <c r="L1135" s="7"/>
      <c r="M1135" s="28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</row>
    <row r="1136" ht="18.75" customHeight="1">
      <c r="A1136" s="7"/>
      <c r="B1136" s="284"/>
      <c r="C1136" s="7"/>
      <c r="D1136" s="285"/>
      <c r="E1136" s="286"/>
      <c r="F1136" s="7"/>
      <c r="G1136" s="7"/>
      <c r="H1136" s="7"/>
      <c r="I1136" s="287"/>
      <c r="J1136" s="288"/>
      <c r="K1136" s="288"/>
      <c r="L1136" s="7"/>
      <c r="M1136" s="28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</row>
    <row r="1137" ht="18.75" customHeight="1">
      <c r="A1137" s="7"/>
      <c r="B1137" s="284"/>
      <c r="C1137" s="7"/>
      <c r="D1137" s="285"/>
      <c r="E1137" s="286"/>
      <c r="F1137" s="7"/>
      <c r="G1137" s="7"/>
      <c r="H1137" s="7"/>
      <c r="I1137" s="287"/>
      <c r="J1137" s="288"/>
      <c r="K1137" s="288"/>
      <c r="L1137" s="7"/>
      <c r="M1137" s="28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</row>
  </sheetData>
  <printOptions/>
  <pageMargins bottom="0.75" footer="0.0" header="0.0" left="0.7" right="0.7" top="0.75"/>
  <pageSetup orientation="landscape"/>
  <drawing r:id="rId1"/>
  <tableParts count="42"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4" width="11.43"/>
    <col customWidth="1" min="5" max="5" width="11.71"/>
    <col customWidth="1" min="6" max="6" width="46.57"/>
    <col customWidth="1" min="7" max="7" width="12.71"/>
    <col customWidth="1" min="8" max="8" width="32.0"/>
    <col customWidth="1" min="9" max="9" width="7.14"/>
    <col customWidth="1" min="10" max="10" width="12.29"/>
    <col customWidth="1" min="11" max="11" width="16.0"/>
    <col customWidth="1" min="12" max="12" width="42.0"/>
    <col customWidth="1" min="13" max="13" width="8.43"/>
    <col customWidth="1" min="14" max="14" width="11.43"/>
    <col customWidth="1" min="15" max="15" width="30.14"/>
    <col customWidth="1" min="16" max="16" width="11.43"/>
    <col customWidth="1" min="17" max="103" width="10.71"/>
  </cols>
  <sheetData>
    <row r="1" ht="18.0" customHeight="1">
      <c r="A1" s="289" t="s">
        <v>0</v>
      </c>
      <c r="B1" s="290" t="s">
        <v>1</v>
      </c>
      <c r="C1" s="289" t="s">
        <v>2</v>
      </c>
      <c r="D1" s="291" t="s">
        <v>3</v>
      </c>
      <c r="E1" s="289" t="s">
        <v>4</v>
      </c>
      <c r="F1" s="289" t="s">
        <v>5</v>
      </c>
      <c r="G1" s="292" t="s">
        <v>374</v>
      </c>
      <c r="H1" s="289" t="s">
        <v>7</v>
      </c>
      <c r="I1" s="289" t="s">
        <v>8</v>
      </c>
      <c r="J1" s="289" t="s">
        <v>9</v>
      </c>
      <c r="K1" s="289" t="s">
        <v>10</v>
      </c>
      <c r="L1" s="293" t="s">
        <v>11</v>
      </c>
      <c r="M1" s="293" t="s">
        <v>12</v>
      </c>
      <c r="N1" s="293" t="s">
        <v>13</v>
      </c>
      <c r="O1" s="293" t="s">
        <v>14</v>
      </c>
      <c r="P1" s="293" t="s">
        <v>15</v>
      </c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</row>
    <row r="2" ht="18.0" customHeight="1">
      <c r="A2" s="295"/>
      <c r="B2" s="296"/>
      <c r="C2" s="295"/>
      <c r="D2" s="297"/>
      <c r="E2" s="295"/>
      <c r="F2" s="298"/>
      <c r="G2" s="295"/>
      <c r="H2" s="298"/>
      <c r="I2" s="295"/>
      <c r="J2" s="295"/>
      <c r="K2" s="295"/>
      <c r="L2" s="299"/>
      <c r="M2" s="300"/>
      <c r="N2" s="299"/>
      <c r="O2" s="301"/>
      <c r="P2" s="302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  <c r="CO2" s="303"/>
      <c r="CP2" s="303"/>
      <c r="CQ2" s="303"/>
      <c r="CR2" s="303"/>
      <c r="CS2" s="303"/>
      <c r="CT2" s="303"/>
      <c r="CU2" s="303"/>
      <c r="CV2" s="303"/>
      <c r="CW2" s="303"/>
      <c r="CX2" s="303"/>
      <c r="CY2" s="303"/>
    </row>
    <row r="3" ht="18.0" customHeight="1">
      <c r="A3" s="5" t="s">
        <v>16</v>
      </c>
      <c r="B3" s="106"/>
      <c r="C3" s="304" t="s">
        <v>62</v>
      </c>
      <c r="D3" s="305">
        <v>46024.0</v>
      </c>
      <c r="E3" s="306" t="s">
        <v>18</v>
      </c>
      <c r="F3" s="307" t="s">
        <v>55</v>
      </c>
      <c r="G3" s="304" t="s">
        <v>97</v>
      </c>
      <c r="H3" s="307" t="s">
        <v>375</v>
      </c>
      <c r="I3" s="304" t="s">
        <v>22</v>
      </c>
      <c r="J3" s="304">
        <v>5.1749476E7</v>
      </c>
      <c r="K3" s="304">
        <v>3.133890027E9</v>
      </c>
      <c r="L3" s="308" t="s">
        <v>376</v>
      </c>
      <c r="M3" s="308" t="s">
        <v>43</v>
      </c>
      <c r="N3" s="309"/>
      <c r="O3" s="310" t="s">
        <v>377</v>
      </c>
      <c r="P3" s="1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</row>
    <row r="4" ht="18.0" customHeight="1">
      <c r="A4" s="5" t="s">
        <v>16</v>
      </c>
      <c r="B4" s="311"/>
      <c r="C4" s="312" t="s">
        <v>62</v>
      </c>
      <c r="D4" s="313">
        <v>46024.0</v>
      </c>
      <c r="E4" s="314" t="s">
        <v>305</v>
      </c>
      <c r="F4" s="315" t="s">
        <v>378</v>
      </c>
      <c r="G4" s="312" t="s">
        <v>48</v>
      </c>
      <c r="H4" s="315" t="s">
        <v>379</v>
      </c>
      <c r="I4" s="312" t="s">
        <v>22</v>
      </c>
      <c r="J4" s="312">
        <v>7.9655441E7</v>
      </c>
      <c r="K4" s="312">
        <v>3.150584678E9</v>
      </c>
      <c r="L4" s="316"/>
      <c r="M4" s="317" t="s">
        <v>24</v>
      </c>
      <c r="N4" s="317" t="s">
        <v>380</v>
      </c>
      <c r="O4" s="316" t="s">
        <v>377</v>
      </c>
      <c r="P4" s="10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 ht="18.0" customHeight="1">
      <c r="A5" s="5" t="s">
        <v>16</v>
      </c>
      <c r="B5" s="311"/>
      <c r="C5" s="312" t="s">
        <v>62</v>
      </c>
      <c r="D5" s="313">
        <v>46024.0</v>
      </c>
      <c r="E5" s="314" t="s">
        <v>305</v>
      </c>
      <c r="F5" s="315" t="s">
        <v>381</v>
      </c>
      <c r="G5" s="312" t="s">
        <v>97</v>
      </c>
      <c r="H5" s="315" t="s">
        <v>379</v>
      </c>
      <c r="I5" s="312" t="s">
        <v>22</v>
      </c>
      <c r="J5" s="312">
        <v>7.9655441E7</v>
      </c>
      <c r="K5" s="312">
        <v>3.150584678E9</v>
      </c>
      <c r="L5" s="316"/>
      <c r="M5" s="317" t="s">
        <v>24</v>
      </c>
      <c r="N5" s="317" t="s">
        <v>380</v>
      </c>
      <c r="O5" s="316" t="s">
        <v>377</v>
      </c>
      <c r="P5" s="10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 ht="18.0" customHeight="1">
      <c r="A6" s="5" t="s">
        <v>16</v>
      </c>
      <c r="B6" s="311"/>
      <c r="C6" s="312" t="s">
        <v>62</v>
      </c>
      <c r="D6" s="313">
        <v>46024.0</v>
      </c>
      <c r="E6" s="314" t="s">
        <v>305</v>
      </c>
      <c r="F6" s="315" t="s">
        <v>382</v>
      </c>
      <c r="G6" s="312" t="s">
        <v>63</v>
      </c>
      <c r="H6" s="315" t="s">
        <v>383</v>
      </c>
      <c r="I6" s="312" t="s">
        <v>22</v>
      </c>
      <c r="J6" s="312">
        <v>5.2077724E7</v>
      </c>
      <c r="K6" s="312">
        <v>3.2262358E9</v>
      </c>
      <c r="L6" s="316"/>
      <c r="M6" s="317" t="s">
        <v>24</v>
      </c>
      <c r="N6" s="317" t="s">
        <v>384</v>
      </c>
      <c r="O6" s="316" t="s">
        <v>377</v>
      </c>
      <c r="P6" s="10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</row>
    <row r="7" ht="18.0" customHeight="1">
      <c r="A7" s="5" t="s">
        <v>16</v>
      </c>
      <c r="B7" s="311"/>
      <c r="C7" s="312" t="s">
        <v>62</v>
      </c>
      <c r="D7" s="313">
        <v>46024.0</v>
      </c>
      <c r="E7" s="314" t="s">
        <v>305</v>
      </c>
      <c r="F7" s="315" t="s">
        <v>366</v>
      </c>
      <c r="G7" s="312" t="s">
        <v>97</v>
      </c>
      <c r="H7" s="315" t="s">
        <v>383</v>
      </c>
      <c r="I7" s="312" t="s">
        <v>22</v>
      </c>
      <c r="J7" s="312">
        <v>5.2077724E7</v>
      </c>
      <c r="K7" s="312">
        <v>3.2262358E9</v>
      </c>
      <c r="L7" s="316"/>
      <c r="M7" s="317" t="s">
        <v>24</v>
      </c>
      <c r="N7" s="317" t="s">
        <v>384</v>
      </c>
      <c r="O7" s="316" t="s">
        <v>377</v>
      </c>
      <c r="P7" s="10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 ht="18.0" customHeight="1">
      <c r="A8" s="5" t="s">
        <v>16</v>
      </c>
      <c r="B8" s="311"/>
      <c r="C8" s="312" t="s">
        <v>62</v>
      </c>
      <c r="D8" s="313">
        <v>46024.0</v>
      </c>
      <c r="E8" s="314" t="s">
        <v>83</v>
      </c>
      <c r="F8" s="315" t="s">
        <v>55</v>
      </c>
      <c r="G8" s="312" t="s">
        <v>63</v>
      </c>
      <c r="H8" s="315" t="s">
        <v>385</v>
      </c>
      <c r="I8" s="312" t="s">
        <v>22</v>
      </c>
      <c r="J8" s="312">
        <v>2.9135483E7</v>
      </c>
      <c r="K8" s="312">
        <v>3.11850675E9</v>
      </c>
      <c r="L8" s="316"/>
      <c r="M8" s="317" t="s">
        <v>24</v>
      </c>
      <c r="N8" s="317" t="s">
        <v>386</v>
      </c>
      <c r="O8" s="316" t="s">
        <v>377</v>
      </c>
      <c r="P8" s="10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 ht="18.0" customHeight="1">
      <c r="A9" s="5" t="s">
        <v>16</v>
      </c>
      <c r="B9" s="311"/>
      <c r="C9" s="312" t="s">
        <v>62</v>
      </c>
      <c r="D9" s="313">
        <v>46024.0</v>
      </c>
      <c r="E9" s="314" t="s">
        <v>182</v>
      </c>
      <c r="F9" s="315" t="s">
        <v>387</v>
      </c>
      <c r="G9" s="312" t="s">
        <v>63</v>
      </c>
      <c r="H9" s="315" t="s">
        <v>388</v>
      </c>
      <c r="I9" s="312" t="s">
        <v>22</v>
      </c>
      <c r="J9" s="312">
        <v>8.0006197E7</v>
      </c>
      <c r="K9" s="312">
        <v>3.232845251E9</v>
      </c>
      <c r="L9" s="316"/>
      <c r="M9" s="317" t="s">
        <v>24</v>
      </c>
      <c r="N9" s="317" t="s">
        <v>389</v>
      </c>
      <c r="O9" s="316" t="s">
        <v>31</v>
      </c>
      <c r="P9" s="10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</row>
    <row r="10" ht="18.0" customHeight="1">
      <c r="A10" s="5" t="s">
        <v>16</v>
      </c>
      <c r="B10" s="318">
        <v>190000.0</v>
      </c>
      <c r="C10" s="312" t="s">
        <v>62</v>
      </c>
      <c r="D10" s="313">
        <v>46024.0</v>
      </c>
      <c r="E10" s="314" t="s">
        <v>182</v>
      </c>
      <c r="F10" s="319" t="s">
        <v>55</v>
      </c>
      <c r="G10" s="312" t="s">
        <v>97</v>
      </c>
      <c r="H10" s="315" t="s">
        <v>390</v>
      </c>
      <c r="I10" s="312" t="s">
        <v>22</v>
      </c>
      <c r="J10" s="312">
        <v>7.9289851E7</v>
      </c>
      <c r="K10" s="312">
        <v>3.21424272E9</v>
      </c>
      <c r="L10" s="320"/>
      <c r="M10" s="321" t="s">
        <v>24</v>
      </c>
      <c r="N10" s="317" t="s">
        <v>391</v>
      </c>
      <c r="O10" s="316" t="s">
        <v>377</v>
      </c>
      <c r="P10" s="10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</row>
    <row r="11" ht="18.0" customHeight="1">
      <c r="A11" s="5" t="s">
        <v>16</v>
      </c>
      <c r="B11" s="311"/>
      <c r="C11" s="312" t="s">
        <v>62</v>
      </c>
      <c r="D11" s="313">
        <v>46024.0</v>
      </c>
      <c r="E11" s="314" t="s">
        <v>93</v>
      </c>
      <c r="F11" s="315" t="s">
        <v>55</v>
      </c>
      <c r="G11" s="312" t="s">
        <v>63</v>
      </c>
      <c r="H11" s="315" t="s">
        <v>392</v>
      </c>
      <c r="I11" s="312" t="s">
        <v>22</v>
      </c>
      <c r="J11" s="312">
        <v>4479922.0</v>
      </c>
      <c r="K11" s="312">
        <v>3.13308992E9</v>
      </c>
      <c r="L11" s="316"/>
      <c r="M11" s="317" t="s">
        <v>24</v>
      </c>
      <c r="N11" s="317" t="s">
        <v>393</v>
      </c>
      <c r="O11" s="316" t="s">
        <v>377</v>
      </c>
      <c r="P11" s="10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</row>
    <row r="12" ht="18.0" customHeight="1">
      <c r="A12" s="5" t="s">
        <v>16</v>
      </c>
      <c r="B12" s="311"/>
      <c r="C12" s="312" t="s">
        <v>62</v>
      </c>
      <c r="D12" s="313">
        <v>46024.0</v>
      </c>
      <c r="E12" s="314" t="s">
        <v>93</v>
      </c>
      <c r="F12" s="315" t="s">
        <v>394</v>
      </c>
      <c r="G12" s="312" t="s">
        <v>63</v>
      </c>
      <c r="H12" s="315" t="s">
        <v>395</v>
      </c>
      <c r="I12" s="312" t="s">
        <v>22</v>
      </c>
      <c r="J12" s="312">
        <v>3.540476E7</v>
      </c>
      <c r="K12" s="312">
        <v>3.134796989E9</v>
      </c>
      <c r="L12" s="316"/>
      <c r="M12" s="317" t="s">
        <v>24</v>
      </c>
      <c r="N12" s="317" t="s">
        <v>396</v>
      </c>
      <c r="O12" s="316" t="s">
        <v>377</v>
      </c>
      <c r="P12" s="10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</row>
    <row r="13" ht="18.0" customHeight="1">
      <c r="A13" s="5" t="s">
        <v>16</v>
      </c>
      <c r="B13" s="318">
        <v>300000.0</v>
      </c>
      <c r="C13" s="312" t="s">
        <v>62</v>
      </c>
      <c r="D13" s="313">
        <v>46024.0</v>
      </c>
      <c r="E13" s="314" t="s">
        <v>397</v>
      </c>
      <c r="F13" s="315" t="s">
        <v>378</v>
      </c>
      <c r="G13" s="312" t="s">
        <v>72</v>
      </c>
      <c r="H13" s="315" t="s">
        <v>398</v>
      </c>
      <c r="I13" s="312" t="s">
        <v>22</v>
      </c>
      <c r="J13" s="312">
        <v>5.2172287E7</v>
      </c>
      <c r="K13" s="312">
        <v>3.002285725E9</v>
      </c>
      <c r="L13" s="316"/>
      <c r="M13" s="317" t="s">
        <v>24</v>
      </c>
      <c r="N13" s="317" t="s">
        <v>399</v>
      </c>
      <c r="O13" s="316" t="s">
        <v>44</v>
      </c>
      <c r="P13" s="10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4" ht="18.0" customHeight="1">
      <c r="A14" s="5" t="s">
        <v>16</v>
      </c>
      <c r="B14" s="318">
        <v>550000.0</v>
      </c>
      <c r="C14" s="312" t="s">
        <v>62</v>
      </c>
      <c r="D14" s="313">
        <v>46024.0</v>
      </c>
      <c r="E14" s="314" t="s">
        <v>400</v>
      </c>
      <c r="F14" s="315" t="s">
        <v>378</v>
      </c>
      <c r="G14" s="312" t="s">
        <v>72</v>
      </c>
      <c r="H14" s="315" t="s">
        <v>401</v>
      </c>
      <c r="I14" s="312" t="s">
        <v>22</v>
      </c>
      <c r="J14" s="312">
        <v>8.002361E7</v>
      </c>
      <c r="K14" s="312">
        <v>3.138031959E9</v>
      </c>
      <c r="L14" s="316"/>
      <c r="M14" s="317" t="s">
        <v>24</v>
      </c>
      <c r="N14" s="317" t="s">
        <v>402</v>
      </c>
      <c r="O14" s="316" t="s">
        <v>82</v>
      </c>
      <c r="P14" s="10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</row>
    <row r="15" ht="18.0" customHeight="1">
      <c r="A15" s="5" t="s">
        <v>16</v>
      </c>
      <c r="B15" s="318">
        <v>550000.0</v>
      </c>
      <c r="C15" s="312" t="s">
        <v>62</v>
      </c>
      <c r="D15" s="313">
        <v>46024.0</v>
      </c>
      <c r="E15" s="314" t="s">
        <v>46</v>
      </c>
      <c r="F15" s="315" t="s">
        <v>55</v>
      </c>
      <c r="G15" s="312" t="s">
        <v>72</v>
      </c>
      <c r="H15" s="315" t="s">
        <v>403</v>
      </c>
      <c r="I15" s="312" t="s">
        <v>22</v>
      </c>
      <c r="J15" s="312">
        <v>4.1713236E7</v>
      </c>
      <c r="K15" s="312">
        <v>3.133962403E9</v>
      </c>
      <c r="L15" s="316"/>
      <c r="M15" s="317" t="s">
        <v>24</v>
      </c>
      <c r="N15" s="317" t="s">
        <v>404</v>
      </c>
      <c r="O15" s="316" t="s">
        <v>82</v>
      </c>
      <c r="P15" s="10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</row>
    <row r="16" ht="18.0" customHeight="1">
      <c r="A16" s="5" t="s">
        <v>16</v>
      </c>
      <c r="B16" s="311"/>
      <c r="C16" s="312" t="s">
        <v>62</v>
      </c>
      <c r="D16" s="313">
        <v>46024.0</v>
      </c>
      <c r="E16" s="314" t="s">
        <v>46</v>
      </c>
      <c r="F16" s="315" t="s">
        <v>378</v>
      </c>
      <c r="G16" s="312" t="s">
        <v>97</v>
      </c>
      <c r="H16" s="315" t="s">
        <v>405</v>
      </c>
      <c r="I16" s="312" t="s">
        <v>22</v>
      </c>
      <c r="J16" s="312">
        <v>4.130636E7</v>
      </c>
      <c r="K16" s="312">
        <v>3.158835626E9</v>
      </c>
      <c r="L16" s="316"/>
      <c r="M16" s="317" t="s">
        <v>24</v>
      </c>
      <c r="N16" s="317" t="s">
        <v>406</v>
      </c>
      <c r="O16" s="316" t="s">
        <v>377</v>
      </c>
      <c r="P16" s="1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</row>
    <row r="17" ht="18.0" customHeight="1">
      <c r="A17" s="5" t="s">
        <v>16</v>
      </c>
      <c r="B17" s="318">
        <v>550000.0</v>
      </c>
      <c r="C17" s="312" t="s">
        <v>17</v>
      </c>
      <c r="D17" s="313">
        <v>46024.0</v>
      </c>
      <c r="E17" s="314" t="s">
        <v>46</v>
      </c>
      <c r="F17" s="319" t="s">
        <v>394</v>
      </c>
      <c r="G17" s="312" t="s">
        <v>72</v>
      </c>
      <c r="H17" s="315" t="s">
        <v>407</v>
      </c>
      <c r="I17" s="312" t="s">
        <v>22</v>
      </c>
      <c r="J17" s="312">
        <v>7.9571339E7</v>
      </c>
      <c r="K17" s="312">
        <v>3.006061976E9</v>
      </c>
      <c r="L17" s="320" t="s">
        <v>408</v>
      </c>
      <c r="M17" s="321" t="s">
        <v>24</v>
      </c>
      <c r="N17" s="317" t="s">
        <v>409</v>
      </c>
      <c r="O17" s="316" t="s">
        <v>82</v>
      </c>
      <c r="P17" s="1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  <row r="18" ht="18.0" customHeight="1">
      <c r="A18" s="5" t="s">
        <v>16</v>
      </c>
      <c r="B18" s="311"/>
      <c r="C18" s="312" t="s">
        <v>17</v>
      </c>
      <c r="D18" s="313">
        <v>46024.0</v>
      </c>
      <c r="E18" s="314" t="s">
        <v>130</v>
      </c>
      <c r="F18" s="315" t="s">
        <v>55</v>
      </c>
      <c r="G18" s="312" t="s">
        <v>97</v>
      </c>
      <c r="H18" s="315" t="s">
        <v>375</v>
      </c>
      <c r="I18" s="312" t="s">
        <v>22</v>
      </c>
      <c r="J18" s="312">
        <v>5.1749476E7</v>
      </c>
      <c r="K18" s="312">
        <v>3.133890027E9</v>
      </c>
      <c r="L18" s="316"/>
      <c r="M18" s="317" t="s">
        <v>24</v>
      </c>
      <c r="N18" s="317" t="s">
        <v>410</v>
      </c>
      <c r="O18" s="316" t="s">
        <v>377</v>
      </c>
      <c r="P18" s="10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</row>
    <row r="19" ht="18.0" customHeight="1">
      <c r="A19" s="5" t="s">
        <v>16</v>
      </c>
      <c r="B19" s="318">
        <v>300000.0</v>
      </c>
      <c r="C19" s="312" t="s">
        <v>17</v>
      </c>
      <c r="D19" s="313">
        <v>46024.0</v>
      </c>
      <c r="E19" s="314" t="s">
        <v>130</v>
      </c>
      <c r="F19" s="319" t="s">
        <v>394</v>
      </c>
      <c r="G19" s="312" t="s">
        <v>72</v>
      </c>
      <c r="H19" s="315" t="s">
        <v>411</v>
      </c>
      <c r="I19" s="312" t="s">
        <v>22</v>
      </c>
      <c r="J19" s="312">
        <v>5.2350554E7</v>
      </c>
      <c r="K19" s="312">
        <v>3.015169464E9</v>
      </c>
      <c r="L19" s="320"/>
      <c r="M19" s="321" t="s">
        <v>24</v>
      </c>
      <c r="N19" s="317" t="s">
        <v>412</v>
      </c>
      <c r="O19" s="316" t="s">
        <v>44</v>
      </c>
      <c r="P19" s="10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</row>
    <row r="20" ht="18.0" customHeight="1">
      <c r="A20" s="5" t="s">
        <v>16</v>
      </c>
      <c r="B20" s="311"/>
      <c r="C20" s="312" t="s">
        <v>17</v>
      </c>
      <c r="D20" s="313">
        <v>46024.0</v>
      </c>
      <c r="E20" s="314" t="s">
        <v>130</v>
      </c>
      <c r="F20" s="315" t="s">
        <v>413</v>
      </c>
      <c r="G20" s="312" t="s">
        <v>48</v>
      </c>
      <c r="H20" s="315" t="s">
        <v>414</v>
      </c>
      <c r="I20" s="312" t="s">
        <v>22</v>
      </c>
      <c r="J20" s="312">
        <v>7.9538946E7</v>
      </c>
      <c r="K20" s="312">
        <v>3.50375118E9</v>
      </c>
      <c r="L20" s="316"/>
      <c r="M20" s="317" t="s">
        <v>24</v>
      </c>
      <c r="N20" s="317" t="s">
        <v>415</v>
      </c>
      <c r="O20" s="316" t="s">
        <v>377</v>
      </c>
      <c r="P20" s="1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</row>
    <row r="21" ht="18.0" customHeight="1">
      <c r="A21" s="5" t="s">
        <v>16</v>
      </c>
      <c r="B21" s="106"/>
      <c r="C21" s="304" t="s">
        <v>17</v>
      </c>
      <c r="D21" s="305">
        <v>46024.0</v>
      </c>
      <c r="E21" s="306" t="s">
        <v>70</v>
      </c>
      <c r="F21" s="307" t="s">
        <v>55</v>
      </c>
      <c r="G21" s="304" t="s">
        <v>97</v>
      </c>
      <c r="H21" s="307" t="s">
        <v>416</v>
      </c>
      <c r="I21" s="304" t="s">
        <v>22</v>
      </c>
      <c r="J21" s="304">
        <v>7.4754702E7</v>
      </c>
      <c r="K21" s="304">
        <v>3.208453839E9</v>
      </c>
      <c r="L21" s="308" t="s">
        <v>417</v>
      </c>
      <c r="M21" s="308" t="s">
        <v>43</v>
      </c>
      <c r="N21" s="322"/>
      <c r="O21" s="310" t="s">
        <v>377</v>
      </c>
      <c r="P21" s="1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</row>
    <row r="22" ht="18.0" customHeight="1">
      <c r="A22" s="5" t="s">
        <v>16</v>
      </c>
      <c r="B22" s="106"/>
      <c r="C22" s="304" t="s">
        <v>17</v>
      </c>
      <c r="D22" s="305">
        <v>46024.0</v>
      </c>
      <c r="E22" s="306" t="s">
        <v>70</v>
      </c>
      <c r="F22" s="307" t="s">
        <v>55</v>
      </c>
      <c r="G22" s="304" t="s">
        <v>48</v>
      </c>
      <c r="H22" s="307" t="s">
        <v>418</v>
      </c>
      <c r="I22" s="304" t="s">
        <v>22</v>
      </c>
      <c r="J22" s="304">
        <v>7.9391705E7</v>
      </c>
      <c r="K22" s="304">
        <v>3.105805807E9</v>
      </c>
      <c r="L22" s="308"/>
      <c r="M22" s="308" t="s">
        <v>43</v>
      </c>
      <c r="N22" s="322"/>
      <c r="O22" s="310" t="s">
        <v>377</v>
      </c>
      <c r="P22" s="10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</row>
    <row r="23" ht="18.0" customHeight="1">
      <c r="A23" s="5" t="s">
        <v>16</v>
      </c>
      <c r="B23" s="318">
        <v>550000.0</v>
      </c>
      <c r="C23" s="312" t="s">
        <v>17</v>
      </c>
      <c r="D23" s="313">
        <v>46024.0</v>
      </c>
      <c r="E23" s="314" t="s">
        <v>70</v>
      </c>
      <c r="F23" s="319" t="s">
        <v>79</v>
      </c>
      <c r="G23" s="312" t="s">
        <v>72</v>
      </c>
      <c r="H23" s="315" t="s">
        <v>419</v>
      </c>
      <c r="I23" s="312" t="s">
        <v>22</v>
      </c>
      <c r="J23" s="312">
        <v>1.030559123E9</v>
      </c>
      <c r="K23" s="312">
        <v>3.105889136E9</v>
      </c>
      <c r="L23" s="320"/>
      <c r="M23" s="321" t="s">
        <v>24</v>
      </c>
      <c r="N23" s="317" t="s">
        <v>420</v>
      </c>
      <c r="O23" s="316" t="s">
        <v>82</v>
      </c>
      <c r="P23" s="10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</row>
    <row r="24" ht="18.0" customHeight="1">
      <c r="A24" s="323"/>
      <c r="B24" s="324"/>
      <c r="C24" s="325"/>
      <c r="D24" s="326"/>
      <c r="E24" s="325"/>
      <c r="F24" s="325"/>
      <c r="G24" s="325"/>
      <c r="H24" s="325"/>
      <c r="I24" s="325"/>
      <c r="J24" s="325"/>
      <c r="K24" s="325"/>
      <c r="L24" s="325"/>
      <c r="M24" s="327"/>
      <c r="N24" s="325"/>
      <c r="O24" s="328"/>
      <c r="P24" s="323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  <c r="CW24" s="136"/>
      <c r="CX24" s="136"/>
      <c r="CY24" s="136"/>
    </row>
    <row r="25" ht="18.0" customHeight="1">
      <c r="A25" s="5" t="s">
        <v>16</v>
      </c>
      <c r="B25" s="318">
        <v>400000.0</v>
      </c>
      <c r="C25" s="312" t="s">
        <v>100</v>
      </c>
      <c r="D25" s="313">
        <v>46027.0</v>
      </c>
      <c r="E25" s="314" t="s">
        <v>18</v>
      </c>
      <c r="F25" s="319" t="s">
        <v>394</v>
      </c>
      <c r="G25" s="312" t="s">
        <v>56</v>
      </c>
      <c r="H25" s="315" t="s">
        <v>421</v>
      </c>
      <c r="I25" s="312" t="s">
        <v>22</v>
      </c>
      <c r="J25" s="312">
        <v>2.3359956E7</v>
      </c>
      <c r="K25" s="312">
        <v>3.002757965E9</v>
      </c>
      <c r="L25" s="320"/>
      <c r="M25" s="321" t="s">
        <v>24</v>
      </c>
      <c r="N25" s="317" t="s">
        <v>422</v>
      </c>
      <c r="O25" s="316" t="s">
        <v>377</v>
      </c>
      <c r="P25" s="10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</row>
    <row r="26" ht="18.0" customHeight="1">
      <c r="A26" s="5" t="s">
        <v>16</v>
      </c>
      <c r="B26" s="106"/>
      <c r="C26" s="312" t="s">
        <v>100</v>
      </c>
      <c r="D26" s="313">
        <v>46027.0</v>
      </c>
      <c r="E26" s="314" t="s">
        <v>18</v>
      </c>
      <c r="F26" s="319" t="s">
        <v>55</v>
      </c>
      <c r="G26" s="312" t="s">
        <v>48</v>
      </c>
      <c r="H26" s="315" t="s">
        <v>423</v>
      </c>
      <c r="I26" s="312" t="s">
        <v>22</v>
      </c>
      <c r="J26" s="312">
        <v>3.9664026E7</v>
      </c>
      <c r="K26" s="312">
        <v>3.10872764E9</v>
      </c>
      <c r="L26" s="320"/>
      <c r="M26" s="321" t="s">
        <v>24</v>
      </c>
      <c r="N26" s="317" t="s">
        <v>424</v>
      </c>
      <c r="O26" s="316" t="s">
        <v>51</v>
      </c>
      <c r="P26" s="10" t="s">
        <v>425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</row>
    <row r="27" ht="18.0" customHeight="1">
      <c r="A27" s="5" t="s">
        <v>16</v>
      </c>
      <c r="B27" s="318">
        <v>300000.0</v>
      </c>
      <c r="C27" s="312" t="s">
        <v>100</v>
      </c>
      <c r="D27" s="313">
        <v>46027.0</v>
      </c>
      <c r="E27" s="314" t="s">
        <v>18</v>
      </c>
      <c r="F27" s="319" t="s">
        <v>378</v>
      </c>
      <c r="G27" s="312" t="s">
        <v>97</v>
      </c>
      <c r="H27" s="315" t="s">
        <v>398</v>
      </c>
      <c r="I27" s="312" t="s">
        <v>22</v>
      </c>
      <c r="J27" s="312">
        <v>5.2172287E7</v>
      </c>
      <c r="K27" s="312">
        <v>3.002285725E9</v>
      </c>
      <c r="L27" s="320"/>
      <c r="M27" s="321" t="s">
        <v>24</v>
      </c>
      <c r="N27" s="317" t="s">
        <v>426</v>
      </c>
      <c r="O27" s="316" t="s">
        <v>44</v>
      </c>
      <c r="P27" s="10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  <row r="28" ht="18.0" customHeight="1">
      <c r="A28" s="5" t="s">
        <v>16</v>
      </c>
      <c r="B28" s="106"/>
      <c r="C28" s="304" t="s">
        <v>100</v>
      </c>
      <c r="D28" s="305">
        <v>46027.0</v>
      </c>
      <c r="E28" s="306" t="s">
        <v>83</v>
      </c>
      <c r="F28" s="307" t="s">
        <v>55</v>
      </c>
      <c r="G28" s="304" t="s">
        <v>97</v>
      </c>
      <c r="H28" s="307" t="s">
        <v>427</v>
      </c>
      <c r="I28" s="304" t="s">
        <v>22</v>
      </c>
      <c r="J28" s="304">
        <v>7.9989096E7</v>
      </c>
      <c r="K28" s="304">
        <v>3.217834742E9</v>
      </c>
      <c r="L28" s="308"/>
      <c r="M28" s="322" t="s">
        <v>30</v>
      </c>
      <c r="N28" s="322"/>
      <c r="O28" s="310" t="s">
        <v>377</v>
      </c>
      <c r="P28" s="10" t="s">
        <v>428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</row>
    <row r="29" ht="18.0" customHeight="1">
      <c r="A29" s="5" t="s">
        <v>16</v>
      </c>
      <c r="B29" s="106"/>
      <c r="C29" s="304" t="s">
        <v>100</v>
      </c>
      <c r="D29" s="305">
        <v>46027.0</v>
      </c>
      <c r="E29" s="306" t="s">
        <v>182</v>
      </c>
      <c r="F29" s="307" t="s">
        <v>378</v>
      </c>
      <c r="G29" s="304" t="s">
        <v>48</v>
      </c>
      <c r="H29" s="307" t="s">
        <v>429</v>
      </c>
      <c r="I29" s="304" t="s">
        <v>22</v>
      </c>
      <c r="J29" s="304">
        <v>5.1713734E7</v>
      </c>
      <c r="K29" s="304">
        <v>3.114824647E9</v>
      </c>
      <c r="L29" s="308" t="s">
        <v>430</v>
      </c>
      <c r="M29" s="322" t="s">
        <v>43</v>
      </c>
      <c r="N29" s="322"/>
      <c r="O29" s="310" t="s">
        <v>31</v>
      </c>
      <c r="P29" s="10" t="s">
        <v>100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</row>
    <row r="30" ht="18.0" customHeight="1">
      <c r="A30" s="5" t="s">
        <v>16</v>
      </c>
      <c r="B30" s="106"/>
      <c r="C30" s="304" t="s">
        <v>100</v>
      </c>
      <c r="D30" s="305">
        <v>46027.0</v>
      </c>
      <c r="E30" s="306" t="s">
        <v>182</v>
      </c>
      <c r="F30" s="307" t="s">
        <v>55</v>
      </c>
      <c r="G30" s="304" t="s">
        <v>56</v>
      </c>
      <c r="H30" s="307" t="s">
        <v>431</v>
      </c>
      <c r="I30" s="304" t="s">
        <v>22</v>
      </c>
      <c r="J30" s="304">
        <v>8.010026E7</v>
      </c>
      <c r="K30" s="304">
        <v>3.013816242E9</v>
      </c>
      <c r="L30" s="308" t="s">
        <v>432</v>
      </c>
      <c r="M30" s="322" t="s">
        <v>43</v>
      </c>
      <c r="N30" s="322"/>
      <c r="O30" s="310" t="s">
        <v>31</v>
      </c>
      <c r="P30" s="10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</row>
    <row r="31" ht="18.0" customHeight="1">
      <c r="A31" s="5" t="s">
        <v>16</v>
      </c>
      <c r="B31" s="318">
        <v>550000.0</v>
      </c>
      <c r="C31" s="312" t="s">
        <v>100</v>
      </c>
      <c r="D31" s="313">
        <v>46027.0</v>
      </c>
      <c r="E31" s="314" t="s">
        <v>182</v>
      </c>
      <c r="F31" s="319" t="s">
        <v>55</v>
      </c>
      <c r="G31" s="312" t="s">
        <v>72</v>
      </c>
      <c r="H31" s="315" t="s">
        <v>433</v>
      </c>
      <c r="I31" s="312" t="s">
        <v>22</v>
      </c>
      <c r="J31" s="312">
        <v>2990838.0</v>
      </c>
      <c r="K31" s="312">
        <v>3.204844001E9</v>
      </c>
      <c r="L31" s="320"/>
      <c r="M31" s="321" t="s">
        <v>24</v>
      </c>
      <c r="N31" s="317" t="s">
        <v>434</v>
      </c>
      <c r="O31" s="316" t="s">
        <v>82</v>
      </c>
      <c r="P31" s="10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</row>
    <row r="32" ht="18.0" customHeight="1">
      <c r="A32" s="5" t="s">
        <v>16</v>
      </c>
      <c r="B32" s="106"/>
      <c r="C32" s="312" t="s">
        <v>100</v>
      </c>
      <c r="D32" s="313">
        <v>46027.0</v>
      </c>
      <c r="E32" s="314" t="s">
        <v>182</v>
      </c>
      <c r="F32" s="319" t="s">
        <v>435</v>
      </c>
      <c r="G32" s="312" t="s">
        <v>48</v>
      </c>
      <c r="H32" s="315" t="s">
        <v>436</v>
      </c>
      <c r="I32" s="312" t="s">
        <v>22</v>
      </c>
      <c r="J32" s="312">
        <v>3187681.0</v>
      </c>
      <c r="K32" s="312">
        <v>3.114825625E9</v>
      </c>
      <c r="L32" s="320"/>
      <c r="M32" s="321" t="s">
        <v>24</v>
      </c>
      <c r="N32" s="317" t="s">
        <v>437</v>
      </c>
      <c r="O32" s="316" t="s">
        <v>31</v>
      </c>
      <c r="P32" s="10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</row>
    <row r="33" ht="18.0" customHeight="1">
      <c r="A33" s="5" t="s">
        <v>16</v>
      </c>
      <c r="B33" s="318">
        <v>100000.0</v>
      </c>
      <c r="C33" s="312" t="s">
        <v>100</v>
      </c>
      <c r="D33" s="313">
        <v>46027.0</v>
      </c>
      <c r="E33" s="314" t="s">
        <v>46</v>
      </c>
      <c r="F33" s="319" t="s">
        <v>55</v>
      </c>
      <c r="G33" s="312" t="s">
        <v>97</v>
      </c>
      <c r="H33" s="315" t="s">
        <v>438</v>
      </c>
      <c r="I33" s="312" t="s">
        <v>22</v>
      </c>
      <c r="J33" s="312">
        <v>1.1377135E7</v>
      </c>
      <c r="K33" s="312">
        <v>3.245949137E9</v>
      </c>
      <c r="L33" s="320"/>
      <c r="M33" s="321" t="s">
        <v>24</v>
      </c>
      <c r="N33" s="317" t="s">
        <v>439</v>
      </c>
      <c r="O33" s="316" t="s">
        <v>377</v>
      </c>
      <c r="P33" s="10" t="s">
        <v>440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</row>
    <row r="34" ht="18.0" customHeight="1">
      <c r="A34" s="5" t="s">
        <v>16</v>
      </c>
      <c r="B34" s="106"/>
      <c r="C34" s="312" t="s">
        <v>100</v>
      </c>
      <c r="D34" s="313">
        <v>45662.0</v>
      </c>
      <c r="E34" s="314" t="s">
        <v>52</v>
      </c>
      <c r="F34" s="319" t="s">
        <v>394</v>
      </c>
      <c r="G34" s="312" t="s">
        <v>97</v>
      </c>
      <c r="H34" s="315" t="s">
        <v>407</v>
      </c>
      <c r="I34" s="312" t="s">
        <v>22</v>
      </c>
      <c r="J34" s="312">
        <v>7.9571339E7</v>
      </c>
      <c r="K34" s="312">
        <v>3.006061976E9</v>
      </c>
      <c r="L34" s="320" t="s">
        <v>408</v>
      </c>
      <c r="M34" s="321" t="s">
        <v>24</v>
      </c>
      <c r="N34" s="317" t="s">
        <v>441</v>
      </c>
      <c r="O34" s="316" t="s">
        <v>82</v>
      </c>
      <c r="P34" s="10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</row>
    <row r="35" ht="18.0" customHeight="1">
      <c r="A35" s="5" t="s">
        <v>16</v>
      </c>
      <c r="B35" s="106"/>
      <c r="C35" s="304" t="s">
        <v>100</v>
      </c>
      <c r="D35" s="305">
        <v>46027.0</v>
      </c>
      <c r="E35" s="306" t="s">
        <v>130</v>
      </c>
      <c r="F35" s="307" t="s">
        <v>55</v>
      </c>
      <c r="G35" s="304" t="s">
        <v>20</v>
      </c>
      <c r="H35" s="307" t="s">
        <v>442</v>
      </c>
      <c r="I35" s="304" t="s">
        <v>22</v>
      </c>
      <c r="J35" s="304">
        <v>4.0024236E7</v>
      </c>
      <c r="K35" s="304">
        <v>3.217252037E9</v>
      </c>
      <c r="L35" s="308" t="s">
        <v>443</v>
      </c>
      <c r="M35" s="322" t="s">
        <v>43</v>
      </c>
      <c r="N35" s="309"/>
      <c r="O35" s="310" t="s">
        <v>444</v>
      </c>
      <c r="P35" s="10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</row>
    <row r="36" ht="18.0" customHeight="1">
      <c r="A36" s="5" t="s">
        <v>16</v>
      </c>
      <c r="B36" s="106"/>
      <c r="C36" s="312" t="s">
        <v>100</v>
      </c>
      <c r="D36" s="313">
        <v>46027.0</v>
      </c>
      <c r="E36" s="314" t="s">
        <v>70</v>
      </c>
      <c r="F36" s="319" t="s">
        <v>378</v>
      </c>
      <c r="G36" s="312" t="s">
        <v>63</v>
      </c>
      <c r="H36" s="315" t="s">
        <v>405</v>
      </c>
      <c r="I36" s="312" t="s">
        <v>22</v>
      </c>
      <c r="J36" s="312">
        <v>4.130636E7</v>
      </c>
      <c r="K36" s="312">
        <v>3.158835626E9</v>
      </c>
      <c r="L36" s="320"/>
      <c r="M36" s="321" t="s">
        <v>24</v>
      </c>
      <c r="N36" s="317" t="s">
        <v>445</v>
      </c>
      <c r="O36" s="316" t="s">
        <v>377</v>
      </c>
      <c r="P36" s="10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</row>
    <row r="37" ht="18.0" customHeight="1">
      <c r="A37" s="323"/>
      <c r="B37" s="324"/>
      <c r="C37" s="325"/>
      <c r="D37" s="326"/>
      <c r="E37" s="325"/>
      <c r="F37" s="325"/>
      <c r="G37" s="325"/>
      <c r="H37" s="325"/>
      <c r="I37" s="325"/>
      <c r="J37" s="325"/>
      <c r="K37" s="325"/>
      <c r="L37" s="325"/>
      <c r="M37" s="327"/>
      <c r="N37" s="325"/>
      <c r="O37" s="328"/>
      <c r="P37" s="323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</row>
    <row r="38" ht="18.0" customHeight="1">
      <c r="A38" s="5" t="s">
        <v>16</v>
      </c>
      <c r="B38" s="311"/>
      <c r="C38" s="312" t="s">
        <v>141</v>
      </c>
      <c r="D38" s="313">
        <v>46028.0</v>
      </c>
      <c r="E38" s="314" t="s">
        <v>182</v>
      </c>
      <c r="F38" s="315" t="s">
        <v>55</v>
      </c>
      <c r="G38" s="312" t="s">
        <v>48</v>
      </c>
      <c r="H38" s="315" t="s">
        <v>446</v>
      </c>
      <c r="I38" s="312" t="s">
        <v>22</v>
      </c>
      <c r="J38" s="312">
        <v>1.9270383E7</v>
      </c>
      <c r="K38" s="312">
        <v>3.204180182E9</v>
      </c>
      <c r="L38" s="316"/>
      <c r="M38" s="317" t="s">
        <v>24</v>
      </c>
      <c r="N38" s="317" t="s">
        <v>447</v>
      </c>
      <c r="O38" s="316" t="s">
        <v>31</v>
      </c>
      <c r="P38" s="10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</row>
    <row r="39" ht="18.0" customHeight="1">
      <c r="A39" s="5" t="s">
        <v>16</v>
      </c>
      <c r="B39" s="106"/>
      <c r="C39" s="304" t="s">
        <v>141</v>
      </c>
      <c r="D39" s="305">
        <v>46028.0</v>
      </c>
      <c r="E39" s="306" t="s">
        <v>182</v>
      </c>
      <c r="F39" s="307" t="s">
        <v>55</v>
      </c>
      <c r="G39" s="304" t="s">
        <v>48</v>
      </c>
      <c r="H39" s="307" t="s">
        <v>448</v>
      </c>
      <c r="I39" s="304" t="s">
        <v>22</v>
      </c>
      <c r="J39" s="304">
        <v>1.032427809E9</v>
      </c>
      <c r="K39" s="304">
        <v>3.208509441E9</v>
      </c>
      <c r="L39" s="308" t="s">
        <v>449</v>
      </c>
      <c r="M39" s="322" t="s">
        <v>43</v>
      </c>
      <c r="N39" s="309"/>
      <c r="O39" s="310" t="s">
        <v>51</v>
      </c>
      <c r="P39" s="10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</row>
    <row r="40" ht="18.0" customHeight="1">
      <c r="A40" s="5" t="s">
        <v>16</v>
      </c>
      <c r="B40" s="311"/>
      <c r="C40" s="312" t="s">
        <v>141</v>
      </c>
      <c r="D40" s="313">
        <v>46028.0</v>
      </c>
      <c r="E40" s="314" t="s">
        <v>182</v>
      </c>
      <c r="F40" s="315" t="s">
        <v>55</v>
      </c>
      <c r="G40" s="312" t="s">
        <v>97</v>
      </c>
      <c r="H40" s="315" t="s">
        <v>450</v>
      </c>
      <c r="I40" s="312" t="s">
        <v>22</v>
      </c>
      <c r="J40" s="312">
        <v>5.2255073E7</v>
      </c>
      <c r="K40" s="312">
        <v>3.118810901E9</v>
      </c>
      <c r="L40" s="316"/>
      <c r="M40" s="317" t="s">
        <v>24</v>
      </c>
      <c r="N40" s="317" t="s">
        <v>451</v>
      </c>
      <c r="O40" s="316" t="s">
        <v>51</v>
      </c>
      <c r="P40" s="10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</row>
    <row r="41" ht="18.0" customHeight="1">
      <c r="A41" s="5" t="s">
        <v>16</v>
      </c>
      <c r="B41" s="318">
        <v>260000.0</v>
      </c>
      <c r="C41" s="312" t="s">
        <v>141</v>
      </c>
      <c r="D41" s="313">
        <v>46028.0</v>
      </c>
      <c r="E41" s="314" t="s">
        <v>397</v>
      </c>
      <c r="F41" s="319" t="s">
        <v>452</v>
      </c>
      <c r="G41" s="312" t="s">
        <v>20</v>
      </c>
      <c r="H41" s="315" t="s">
        <v>453</v>
      </c>
      <c r="I41" s="312" t="s">
        <v>22</v>
      </c>
      <c r="J41" s="312">
        <v>7964548.0</v>
      </c>
      <c r="K41" s="312">
        <v>3.202721201E9</v>
      </c>
      <c r="L41" s="320"/>
      <c r="M41" s="321" t="s">
        <v>24</v>
      </c>
      <c r="N41" s="317" t="s">
        <v>454</v>
      </c>
      <c r="O41" s="316" t="s">
        <v>220</v>
      </c>
      <c r="P41" s="10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</row>
    <row r="42" ht="18.0" customHeight="1">
      <c r="A42" s="5" t="s">
        <v>16</v>
      </c>
      <c r="B42" s="318">
        <v>570000.0</v>
      </c>
      <c r="C42" s="312" t="s">
        <v>141</v>
      </c>
      <c r="D42" s="313">
        <v>46028.0</v>
      </c>
      <c r="E42" s="314" t="s">
        <v>397</v>
      </c>
      <c r="F42" s="319" t="s">
        <v>55</v>
      </c>
      <c r="G42" s="312" t="s">
        <v>72</v>
      </c>
      <c r="H42" s="315" t="s">
        <v>455</v>
      </c>
      <c r="I42" s="312" t="s">
        <v>22</v>
      </c>
      <c r="J42" s="312">
        <v>1.7636246E7</v>
      </c>
      <c r="K42" s="312">
        <v>3.214209516E9</v>
      </c>
      <c r="L42" s="320" t="s">
        <v>456</v>
      </c>
      <c r="M42" s="321" t="s">
        <v>24</v>
      </c>
      <c r="N42" s="317" t="s">
        <v>457</v>
      </c>
      <c r="O42" s="316" t="s">
        <v>220</v>
      </c>
      <c r="P42" s="10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</row>
    <row r="43" ht="18.0" customHeight="1">
      <c r="A43" s="5" t="s">
        <v>16</v>
      </c>
      <c r="B43" s="318">
        <v>550000.0</v>
      </c>
      <c r="C43" s="312" t="s">
        <v>141</v>
      </c>
      <c r="D43" s="313">
        <v>46028.0</v>
      </c>
      <c r="E43" s="314" t="s">
        <v>46</v>
      </c>
      <c r="F43" s="319" t="s">
        <v>55</v>
      </c>
      <c r="G43" s="312" t="s">
        <v>72</v>
      </c>
      <c r="H43" s="315" t="s">
        <v>458</v>
      </c>
      <c r="I43" s="312" t="s">
        <v>22</v>
      </c>
      <c r="J43" s="312">
        <v>7.9057655E7</v>
      </c>
      <c r="K43" s="312">
        <v>3.178596972E9</v>
      </c>
      <c r="L43" s="320"/>
      <c r="M43" s="321" t="s">
        <v>24</v>
      </c>
      <c r="N43" s="317" t="s">
        <v>459</v>
      </c>
      <c r="O43" s="316" t="s">
        <v>220</v>
      </c>
      <c r="P43" s="10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</row>
    <row r="44" ht="18.0" customHeight="1">
      <c r="A44" s="295"/>
      <c r="B44" s="296"/>
      <c r="C44" s="295"/>
      <c r="D44" s="297"/>
      <c r="E44" s="295"/>
      <c r="F44" s="298"/>
      <c r="G44" s="295"/>
      <c r="H44" s="298"/>
      <c r="I44" s="295"/>
      <c r="J44" s="295"/>
      <c r="K44" s="295"/>
      <c r="L44" s="295"/>
      <c r="M44" s="329"/>
      <c r="N44" s="295"/>
      <c r="O44" s="295"/>
      <c r="P44" s="298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  <c r="BW44" s="303"/>
      <c r="BX44" s="303"/>
      <c r="BY44" s="303"/>
      <c r="BZ44" s="303"/>
      <c r="CA44" s="303"/>
      <c r="CB44" s="303"/>
      <c r="CC44" s="303"/>
      <c r="CD44" s="303"/>
      <c r="CE44" s="303"/>
      <c r="CF44" s="303"/>
      <c r="CG44" s="303"/>
      <c r="CH44" s="303"/>
      <c r="CI44" s="303"/>
      <c r="CJ44" s="303"/>
      <c r="CK44" s="303"/>
      <c r="CL44" s="303"/>
      <c r="CM44" s="303"/>
      <c r="CN44" s="303"/>
      <c r="CO44" s="303"/>
      <c r="CP44" s="303"/>
      <c r="CQ44" s="303"/>
      <c r="CR44" s="303"/>
      <c r="CS44" s="303"/>
      <c r="CT44" s="303"/>
      <c r="CU44" s="303"/>
      <c r="CV44" s="303"/>
      <c r="CW44" s="303"/>
      <c r="CX44" s="303"/>
      <c r="CY44" s="303"/>
    </row>
    <row r="45" ht="18.0" customHeight="1">
      <c r="A45" s="5" t="s">
        <v>16</v>
      </c>
      <c r="B45" s="318">
        <v>80000.0</v>
      </c>
      <c r="C45" s="312" t="s">
        <v>203</v>
      </c>
      <c r="D45" s="313">
        <v>46029.0</v>
      </c>
      <c r="E45" s="314" t="s">
        <v>182</v>
      </c>
      <c r="F45" s="319" t="s">
        <v>460</v>
      </c>
      <c r="G45" s="312" t="s">
        <v>20</v>
      </c>
      <c r="H45" s="315" t="s">
        <v>461</v>
      </c>
      <c r="I45" s="312" t="s">
        <v>22</v>
      </c>
      <c r="J45" s="312">
        <v>6.5747282E7</v>
      </c>
      <c r="K45" s="312">
        <v>3.186448567E9</v>
      </c>
      <c r="L45" s="320" t="s">
        <v>462</v>
      </c>
      <c r="M45" s="321" t="s">
        <v>24</v>
      </c>
      <c r="N45" s="317" t="s">
        <v>463</v>
      </c>
      <c r="O45" s="316" t="s">
        <v>464</v>
      </c>
      <c r="P45" s="10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</row>
    <row r="46" ht="18.0" customHeight="1">
      <c r="A46" s="5" t="s">
        <v>16</v>
      </c>
      <c r="B46" s="106"/>
      <c r="C46" s="304" t="s">
        <v>203</v>
      </c>
      <c r="D46" s="305">
        <v>46029.0</v>
      </c>
      <c r="E46" s="306" t="s">
        <v>18</v>
      </c>
      <c r="F46" s="307" t="s">
        <v>394</v>
      </c>
      <c r="G46" s="304" t="s">
        <v>97</v>
      </c>
      <c r="H46" s="307" t="s">
        <v>411</v>
      </c>
      <c r="I46" s="304" t="s">
        <v>22</v>
      </c>
      <c r="J46" s="304">
        <v>5.2350554E7</v>
      </c>
      <c r="K46" s="304">
        <v>3.015169464E9</v>
      </c>
      <c r="L46" s="308" t="s">
        <v>465</v>
      </c>
      <c r="M46" s="322" t="s">
        <v>43</v>
      </c>
      <c r="N46" s="309"/>
      <c r="O46" s="310" t="s">
        <v>44</v>
      </c>
      <c r="P46" s="10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</row>
    <row r="47" ht="18.0" customHeight="1">
      <c r="A47" s="5" t="s">
        <v>16</v>
      </c>
      <c r="B47" s="318">
        <v>550000.0</v>
      </c>
      <c r="C47" s="312" t="s">
        <v>203</v>
      </c>
      <c r="D47" s="313">
        <v>46029.0</v>
      </c>
      <c r="E47" s="314" t="s">
        <v>83</v>
      </c>
      <c r="F47" s="319" t="s">
        <v>394</v>
      </c>
      <c r="G47" s="312" t="s">
        <v>72</v>
      </c>
      <c r="H47" s="315" t="s">
        <v>466</v>
      </c>
      <c r="I47" s="312" t="s">
        <v>22</v>
      </c>
      <c r="J47" s="312">
        <v>7.9266659E7</v>
      </c>
      <c r="K47" s="312">
        <v>3.108635966E9</v>
      </c>
      <c r="L47" s="320"/>
      <c r="M47" s="321" t="s">
        <v>24</v>
      </c>
      <c r="N47" s="317" t="s">
        <v>467</v>
      </c>
      <c r="O47" s="316" t="s">
        <v>44</v>
      </c>
      <c r="P47" s="10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</row>
    <row r="48" ht="18.0" customHeight="1">
      <c r="A48" s="5" t="s">
        <v>16</v>
      </c>
      <c r="B48" s="106"/>
      <c r="C48" s="304" t="s">
        <v>203</v>
      </c>
      <c r="D48" s="305">
        <v>46029.0</v>
      </c>
      <c r="E48" s="306" t="s">
        <v>182</v>
      </c>
      <c r="F48" s="307" t="s">
        <v>55</v>
      </c>
      <c r="G48" s="304" t="s">
        <v>48</v>
      </c>
      <c r="H48" s="307" t="s">
        <v>392</v>
      </c>
      <c r="I48" s="304" t="s">
        <v>22</v>
      </c>
      <c r="J48" s="304">
        <v>4479922.0</v>
      </c>
      <c r="K48" s="304">
        <v>3.13308992E9</v>
      </c>
      <c r="L48" s="308"/>
      <c r="M48" s="322" t="s">
        <v>43</v>
      </c>
      <c r="N48" s="309"/>
      <c r="O48" s="310" t="s">
        <v>377</v>
      </c>
      <c r="P48" s="10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</row>
    <row r="49" ht="18.0" customHeight="1">
      <c r="A49" s="5" t="s">
        <v>16</v>
      </c>
      <c r="B49" s="106"/>
      <c r="C49" s="312" t="s">
        <v>203</v>
      </c>
      <c r="D49" s="313">
        <v>46029.0</v>
      </c>
      <c r="E49" s="314" t="s">
        <v>468</v>
      </c>
      <c r="F49" s="319" t="s">
        <v>469</v>
      </c>
      <c r="G49" s="312" t="s">
        <v>97</v>
      </c>
      <c r="H49" s="315" t="s">
        <v>470</v>
      </c>
      <c r="I49" s="312" t="s">
        <v>22</v>
      </c>
      <c r="J49" s="312">
        <v>1.024552959E9</v>
      </c>
      <c r="K49" s="312">
        <v>3.20995014E9</v>
      </c>
      <c r="L49" s="320"/>
      <c r="M49" s="321" t="s">
        <v>24</v>
      </c>
      <c r="N49" s="317" t="s">
        <v>441</v>
      </c>
      <c r="O49" s="316" t="s">
        <v>31</v>
      </c>
      <c r="P49" s="10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</row>
    <row r="50" ht="18.0" customHeight="1">
      <c r="A50" s="323"/>
      <c r="B50" s="324"/>
      <c r="C50" s="325"/>
      <c r="D50" s="326"/>
      <c r="E50" s="325"/>
      <c r="F50" s="325"/>
      <c r="G50" s="325"/>
      <c r="H50" s="325"/>
      <c r="I50" s="325"/>
      <c r="J50" s="325"/>
      <c r="K50" s="325"/>
      <c r="L50" s="325"/>
      <c r="M50" s="327"/>
      <c r="N50" s="325"/>
      <c r="O50" s="328"/>
      <c r="P50" s="323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</row>
    <row r="51" ht="18.0" customHeight="1">
      <c r="A51" s="5" t="s">
        <v>16</v>
      </c>
      <c r="B51" s="106"/>
      <c r="C51" s="304" t="s">
        <v>207</v>
      </c>
      <c r="D51" s="305">
        <v>46030.0</v>
      </c>
      <c r="E51" s="306" t="s">
        <v>18</v>
      </c>
      <c r="F51" s="307" t="s">
        <v>471</v>
      </c>
      <c r="G51" s="304" t="s">
        <v>20</v>
      </c>
      <c r="H51" s="307" t="s">
        <v>472</v>
      </c>
      <c r="I51" s="304" t="s">
        <v>22</v>
      </c>
      <c r="J51" s="304">
        <v>7.9568454E7</v>
      </c>
      <c r="K51" s="304">
        <v>3.157634758E9</v>
      </c>
      <c r="L51" s="308" t="s">
        <v>473</v>
      </c>
      <c r="M51" s="322" t="s">
        <v>30</v>
      </c>
      <c r="N51" s="309"/>
      <c r="O51" s="310" t="s">
        <v>31</v>
      </c>
      <c r="P51" s="10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</row>
    <row r="52" ht="18.0" customHeight="1">
      <c r="A52" s="5" t="s">
        <v>16</v>
      </c>
      <c r="B52" s="106"/>
      <c r="C52" s="312" t="s">
        <v>207</v>
      </c>
      <c r="D52" s="313">
        <v>46030.0</v>
      </c>
      <c r="E52" s="314" t="s">
        <v>18</v>
      </c>
      <c r="F52" s="319" t="s">
        <v>378</v>
      </c>
      <c r="G52" s="312" t="s">
        <v>48</v>
      </c>
      <c r="H52" s="315" t="s">
        <v>405</v>
      </c>
      <c r="I52" s="312" t="s">
        <v>22</v>
      </c>
      <c r="J52" s="312">
        <v>4.130636E7</v>
      </c>
      <c r="K52" s="312">
        <v>3.158835626E9</v>
      </c>
      <c r="L52" s="320"/>
      <c r="M52" s="321" t="s">
        <v>24</v>
      </c>
      <c r="N52" s="317" t="s">
        <v>474</v>
      </c>
      <c r="O52" s="316" t="s">
        <v>377</v>
      </c>
      <c r="P52" s="10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</row>
    <row r="53" ht="18.0" customHeight="1">
      <c r="A53" s="5" t="s">
        <v>16</v>
      </c>
      <c r="B53" s="318">
        <v>220000.0</v>
      </c>
      <c r="C53" s="312" t="s">
        <v>207</v>
      </c>
      <c r="D53" s="313">
        <v>46030.0</v>
      </c>
      <c r="E53" s="314" t="s">
        <v>305</v>
      </c>
      <c r="F53" s="319" t="s">
        <v>475</v>
      </c>
      <c r="G53" s="312" t="s">
        <v>56</v>
      </c>
      <c r="H53" s="315" t="s">
        <v>476</v>
      </c>
      <c r="I53" s="312" t="s">
        <v>22</v>
      </c>
      <c r="J53" s="312">
        <v>3.9640509E7</v>
      </c>
      <c r="K53" s="312">
        <v>3.106669201E9</v>
      </c>
      <c r="L53" s="320"/>
      <c r="M53" s="321" t="s">
        <v>24</v>
      </c>
      <c r="N53" s="317" t="s">
        <v>477</v>
      </c>
      <c r="O53" s="316" t="s">
        <v>31</v>
      </c>
      <c r="P53" s="10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</row>
    <row r="54" ht="18.0" customHeight="1">
      <c r="A54" s="5" t="s">
        <v>16</v>
      </c>
      <c r="B54" s="318">
        <v>480000.0</v>
      </c>
      <c r="C54" s="312" t="s">
        <v>207</v>
      </c>
      <c r="D54" s="313">
        <v>46030.0</v>
      </c>
      <c r="E54" s="314" t="s">
        <v>305</v>
      </c>
      <c r="F54" s="319" t="s">
        <v>478</v>
      </c>
      <c r="G54" s="312" t="s">
        <v>56</v>
      </c>
      <c r="H54" s="315" t="s">
        <v>476</v>
      </c>
      <c r="I54" s="312" t="s">
        <v>22</v>
      </c>
      <c r="J54" s="312">
        <v>3.9640509E7</v>
      </c>
      <c r="K54" s="312">
        <v>3.106669201E9</v>
      </c>
      <c r="L54" s="320"/>
      <c r="M54" s="321" t="s">
        <v>24</v>
      </c>
      <c r="N54" s="317" t="s">
        <v>477</v>
      </c>
      <c r="O54" s="316" t="s">
        <v>31</v>
      </c>
      <c r="P54" s="10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</row>
    <row r="55" ht="18.0" customHeight="1">
      <c r="A55" s="5" t="s">
        <v>16</v>
      </c>
      <c r="B55" s="106"/>
      <c r="C55" s="312" t="s">
        <v>207</v>
      </c>
      <c r="D55" s="313">
        <v>46030.0</v>
      </c>
      <c r="E55" s="314" t="s">
        <v>305</v>
      </c>
      <c r="F55" s="319" t="s">
        <v>479</v>
      </c>
      <c r="G55" s="312" t="s">
        <v>97</v>
      </c>
      <c r="H55" s="315" t="s">
        <v>480</v>
      </c>
      <c r="I55" s="312" t="s">
        <v>22</v>
      </c>
      <c r="J55" s="312">
        <v>2.0944441E7</v>
      </c>
      <c r="K55" s="312">
        <v>3.192871588E9</v>
      </c>
      <c r="L55" s="320"/>
      <c r="M55" s="321" t="s">
        <v>24</v>
      </c>
      <c r="N55" s="317" t="s">
        <v>481</v>
      </c>
      <c r="O55" s="316" t="s">
        <v>31</v>
      </c>
      <c r="P55" s="10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</row>
    <row r="56" ht="18.0" customHeight="1">
      <c r="A56" s="5" t="s">
        <v>16</v>
      </c>
      <c r="B56" s="106"/>
      <c r="C56" s="312" t="s">
        <v>207</v>
      </c>
      <c r="D56" s="313">
        <v>46030.0</v>
      </c>
      <c r="E56" s="314" t="s">
        <v>305</v>
      </c>
      <c r="F56" s="319" t="s">
        <v>475</v>
      </c>
      <c r="G56" s="312" t="s">
        <v>97</v>
      </c>
      <c r="H56" s="315" t="s">
        <v>480</v>
      </c>
      <c r="I56" s="312" t="s">
        <v>22</v>
      </c>
      <c r="J56" s="312">
        <v>2.0944441E7</v>
      </c>
      <c r="K56" s="312">
        <v>3.192871588E9</v>
      </c>
      <c r="L56" s="320"/>
      <c r="M56" s="321" t="s">
        <v>24</v>
      </c>
      <c r="N56" s="317" t="s">
        <v>481</v>
      </c>
      <c r="O56" s="316" t="s">
        <v>31</v>
      </c>
      <c r="P56" s="10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</row>
    <row r="57" ht="18.0" customHeight="1">
      <c r="A57" s="5" t="s">
        <v>16</v>
      </c>
      <c r="B57" s="318">
        <v>230000.0</v>
      </c>
      <c r="C57" s="312" t="s">
        <v>207</v>
      </c>
      <c r="D57" s="313">
        <v>46030.0</v>
      </c>
      <c r="E57" s="314" t="s">
        <v>305</v>
      </c>
      <c r="F57" s="319" t="s">
        <v>482</v>
      </c>
      <c r="G57" s="312" t="s">
        <v>483</v>
      </c>
      <c r="H57" s="315" t="s">
        <v>480</v>
      </c>
      <c r="I57" s="312" t="s">
        <v>22</v>
      </c>
      <c r="J57" s="312">
        <v>2.0944441E7</v>
      </c>
      <c r="K57" s="312">
        <v>3.192871588E9</v>
      </c>
      <c r="L57" s="320"/>
      <c r="M57" s="321" t="s">
        <v>24</v>
      </c>
      <c r="N57" s="317" t="s">
        <v>481</v>
      </c>
      <c r="O57" s="316" t="s">
        <v>31</v>
      </c>
      <c r="P57" s="10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</row>
    <row r="58" ht="18.0" customHeight="1">
      <c r="A58" s="5" t="s">
        <v>16</v>
      </c>
      <c r="B58" s="318">
        <v>130000.0</v>
      </c>
      <c r="C58" s="312" t="s">
        <v>207</v>
      </c>
      <c r="D58" s="313">
        <v>46030.0</v>
      </c>
      <c r="E58" s="314" t="s">
        <v>305</v>
      </c>
      <c r="F58" s="319" t="s">
        <v>484</v>
      </c>
      <c r="G58" s="312" t="s">
        <v>483</v>
      </c>
      <c r="H58" s="315" t="s">
        <v>480</v>
      </c>
      <c r="I58" s="312" t="s">
        <v>22</v>
      </c>
      <c r="J58" s="312">
        <v>2.0944441E7</v>
      </c>
      <c r="K58" s="312">
        <v>3.192871588E9</v>
      </c>
      <c r="L58" s="320"/>
      <c r="M58" s="321" t="s">
        <v>24</v>
      </c>
      <c r="N58" s="317" t="s">
        <v>485</v>
      </c>
      <c r="O58" s="316" t="s">
        <v>31</v>
      </c>
      <c r="P58" s="10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</row>
    <row r="59" ht="18.0" customHeight="1">
      <c r="A59" s="5" t="s">
        <v>16</v>
      </c>
      <c r="B59" s="106"/>
      <c r="C59" s="304" t="s">
        <v>207</v>
      </c>
      <c r="D59" s="305">
        <v>46030.0</v>
      </c>
      <c r="E59" s="306" t="s">
        <v>305</v>
      </c>
      <c r="F59" s="307" t="s">
        <v>475</v>
      </c>
      <c r="G59" s="304" t="s">
        <v>63</v>
      </c>
      <c r="H59" s="307" t="s">
        <v>383</v>
      </c>
      <c r="I59" s="304" t="s">
        <v>22</v>
      </c>
      <c r="J59" s="304">
        <v>5.2077724E7</v>
      </c>
      <c r="K59" s="304">
        <v>3.2262358E9</v>
      </c>
      <c r="L59" s="308"/>
      <c r="M59" s="322" t="s">
        <v>30</v>
      </c>
      <c r="N59" s="322"/>
      <c r="O59" s="310" t="s">
        <v>377</v>
      </c>
      <c r="P59" s="10" t="s">
        <v>486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</row>
    <row r="60" ht="18.0" customHeight="1">
      <c r="A60" s="5" t="s">
        <v>16</v>
      </c>
      <c r="B60" s="106"/>
      <c r="C60" s="304" t="s">
        <v>207</v>
      </c>
      <c r="D60" s="305">
        <v>46030.0</v>
      </c>
      <c r="E60" s="306" t="s">
        <v>305</v>
      </c>
      <c r="F60" s="307" t="s">
        <v>382</v>
      </c>
      <c r="G60" s="304" t="s">
        <v>48</v>
      </c>
      <c r="H60" s="307" t="s">
        <v>383</v>
      </c>
      <c r="I60" s="304" t="s">
        <v>22</v>
      </c>
      <c r="J60" s="304">
        <v>5.2077724E7</v>
      </c>
      <c r="K60" s="304">
        <v>3.2262358E9</v>
      </c>
      <c r="L60" s="308"/>
      <c r="M60" s="322" t="s">
        <v>30</v>
      </c>
      <c r="N60" s="322"/>
      <c r="O60" s="310" t="s">
        <v>377</v>
      </c>
      <c r="P60" s="10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</row>
    <row r="61" ht="18.0" customHeight="1">
      <c r="A61" s="5" t="s">
        <v>16</v>
      </c>
      <c r="B61" s="106"/>
      <c r="C61" s="304" t="s">
        <v>207</v>
      </c>
      <c r="D61" s="305">
        <v>46030.0</v>
      </c>
      <c r="E61" s="306" t="s">
        <v>305</v>
      </c>
      <c r="F61" s="307" t="s">
        <v>366</v>
      </c>
      <c r="G61" s="304" t="s">
        <v>63</v>
      </c>
      <c r="H61" s="307" t="s">
        <v>383</v>
      </c>
      <c r="I61" s="304" t="s">
        <v>22</v>
      </c>
      <c r="J61" s="304">
        <v>5.2077724E7</v>
      </c>
      <c r="K61" s="304">
        <v>3.2262358E9</v>
      </c>
      <c r="L61" s="308"/>
      <c r="M61" s="322" t="s">
        <v>30</v>
      </c>
      <c r="N61" s="322"/>
      <c r="O61" s="310" t="s">
        <v>377</v>
      </c>
      <c r="P61" s="10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</row>
    <row r="62" ht="18.0" customHeight="1">
      <c r="A62" s="5" t="s">
        <v>16</v>
      </c>
      <c r="B62" s="318">
        <v>100000.0</v>
      </c>
      <c r="C62" s="312" t="s">
        <v>207</v>
      </c>
      <c r="D62" s="313">
        <v>46030.0</v>
      </c>
      <c r="E62" s="314" t="s">
        <v>305</v>
      </c>
      <c r="F62" s="319" t="s">
        <v>471</v>
      </c>
      <c r="G62" s="312" t="s">
        <v>20</v>
      </c>
      <c r="H62" s="315" t="s">
        <v>487</v>
      </c>
      <c r="I62" s="312" t="s">
        <v>22</v>
      </c>
      <c r="J62" s="312">
        <v>8.0267997E7</v>
      </c>
      <c r="K62" s="312">
        <v>3.103124464E9</v>
      </c>
      <c r="L62" s="320"/>
      <c r="M62" s="321" t="s">
        <v>24</v>
      </c>
      <c r="N62" s="317" t="s">
        <v>488</v>
      </c>
      <c r="O62" s="316" t="s">
        <v>31</v>
      </c>
      <c r="P62" s="10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</row>
    <row r="63" ht="18.0" customHeight="1">
      <c r="A63" s="5" t="s">
        <v>16</v>
      </c>
      <c r="B63" s="318">
        <v>120000.0</v>
      </c>
      <c r="C63" s="312" t="s">
        <v>207</v>
      </c>
      <c r="D63" s="313">
        <v>46030.0</v>
      </c>
      <c r="E63" s="314" t="s">
        <v>305</v>
      </c>
      <c r="F63" s="319" t="s">
        <v>489</v>
      </c>
      <c r="G63" s="312" t="s">
        <v>483</v>
      </c>
      <c r="H63" s="315" t="s">
        <v>487</v>
      </c>
      <c r="I63" s="312" t="s">
        <v>22</v>
      </c>
      <c r="J63" s="312">
        <v>8.0267997E7</v>
      </c>
      <c r="K63" s="312">
        <v>3.103124464E9</v>
      </c>
      <c r="L63" s="320"/>
      <c r="M63" s="321" t="s">
        <v>24</v>
      </c>
      <c r="N63" s="317" t="s">
        <v>488</v>
      </c>
      <c r="O63" s="316" t="s">
        <v>31</v>
      </c>
      <c r="P63" s="10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</row>
    <row r="64" ht="18.0" customHeight="1">
      <c r="A64" s="5" t="s">
        <v>16</v>
      </c>
      <c r="B64" s="318">
        <v>250000.0</v>
      </c>
      <c r="C64" s="312" t="s">
        <v>207</v>
      </c>
      <c r="D64" s="313">
        <v>46030.0</v>
      </c>
      <c r="E64" s="314" t="s">
        <v>83</v>
      </c>
      <c r="F64" s="319" t="s">
        <v>490</v>
      </c>
      <c r="G64" s="312" t="s">
        <v>97</v>
      </c>
      <c r="H64" s="315" t="s">
        <v>491</v>
      </c>
      <c r="I64" s="312" t="s">
        <v>22</v>
      </c>
      <c r="J64" s="312">
        <v>3.9666937E7</v>
      </c>
      <c r="K64" s="312">
        <v>3.192871588E9</v>
      </c>
      <c r="L64" s="320"/>
      <c r="M64" s="321" t="s">
        <v>24</v>
      </c>
      <c r="N64" s="317" t="s">
        <v>492</v>
      </c>
      <c r="O64" s="316" t="s">
        <v>31</v>
      </c>
      <c r="P64" s="10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</row>
    <row r="65" ht="18.0" customHeight="1">
      <c r="A65" s="5" t="s">
        <v>16</v>
      </c>
      <c r="B65" s="318">
        <v>220000.0</v>
      </c>
      <c r="C65" s="312" t="s">
        <v>207</v>
      </c>
      <c r="D65" s="313">
        <v>46030.0</v>
      </c>
      <c r="E65" s="314" t="s">
        <v>83</v>
      </c>
      <c r="F65" s="319" t="s">
        <v>475</v>
      </c>
      <c r="G65" s="312" t="s">
        <v>56</v>
      </c>
      <c r="H65" s="315" t="s">
        <v>491</v>
      </c>
      <c r="I65" s="312" t="s">
        <v>22</v>
      </c>
      <c r="J65" s="312">
        <v>3.9666937E7</v>
      </c>
      <c r="K65" s="312">
        <v>3.192871588E9</v>
      </c>
      <c r="L65" s="320"/>
      <c r="M65" s="321" t="s">
        <v>24</v>
      </c>
      <c r="N65" s="317" t="s">
        <v>492</v>
      </c>
      <c r="O65" s="316" t="s">
        <v>31</v>
      </c>
      <c r="P65" s="10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</row>
    <row r="66" ht="18.0" customHeight="1">
      <c r="A66" s="5" t="s">
        <v>16</v>
      </c>
      <c r="B66" s="106"/>
      <c r="C66" s="312" t="s">
        <v>207</v>
      </c>
      <c r="D66" s="313">
        <v>46030.0</v>
      </c>
      <c r="E66" s="314" t="s">
        <v>83</v>
      </c>
      <c r="F66" s="319" t="s">
        <v>493</v>
      </c>
      <c r="G66" s="312" t="s">
        <v>48</v>
      </c>
      <c r="H66" s="315" t="s">
        <v>494</v>
      </c>
      <c r="I66" s="312" t="s">
        <v>22</v>
      </c>
      <c r="J66" s="312">
        <v>2.0532631E7</v>
      </c>
      <c r="K66" s="312">
        <v>3.212163247E9</v>
      </c>
      <c r="L66" s="320"/>
      <c r="M66" s="321" t="s">
        <v>24</v>
      </c>
      <c r="N66" s="317" t="s">
        <v>495</v>
      </c>
      <c r="O66" s="316" t="s">
        <v>377</v>
      </c>
      <c r="P66" s="10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</row>
    <row r="67" ht="18.0" customHeight="1">
      <c r="A67" s="5" t="s">
        <v>16</v>
      </c>
      <c r="B67" s="106"/>
      <c r="C67" s="312" t="s">
        <v>207</v>
      </c>
      <c r="D67" s="313">
        <v>46030.0</v>
      </c>
      <c r="E67" s="314" t="s">
        <v>83</v>
      </c>
      <c r="F67" s="319" t="s">
        <v>475</v>
      </c>
      <c r="G67" s="312" t="s">
        <v>63</v>
      </c>
      <c r="H67" s="315" t="s">
        <v>494</v>
      </c>
      <c r="I67" s="312" t="s">
        <v>22</v>
      </c>
      <c r="J67" s="312">
        <v>2.0532631E7</v>
      </c>
      <c r="K67" s="312">
        <v>3.212163247E9</v>
      </c>
      <c r="L67" s="320"/>
      <c r="M67" s="321" t="s">
        <v>24</v>
      </c>
      <c r="N67" s="317" t="s">
        <v>495</v>
      </c>
      <c r="O67" s="316" t="s">
        <v>377</v>
      </c>
      <c r="P67" s="10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</row>
    <row r="68" ht="18.0" customHeight="1">
      <c r="A68" s="5" t="s">
        <v>16</v>
      </c>
      <c r="B68" s="106"/>
      <c r="C68" s="304" t="s">
        <v>207</v>
      </c>
      <c r="D68" s="305">
        <v>46030.0</v>
      </c>
      <c r="E68" s="306" t="s">
        <v>83</v>
      </c>
      <c r="F68" s="307" t="s">
        <v>475</v>
      </c>
      <c r="G68" s="304" t="s">
        <v>48</v>
      </c>
      <c r="H68" s="307" t="s">
        <v>496</v>
      </c>
      <c r="I68" s="304" t="s">
        <v>22</v>
      </c>
      <c r="J68" s="304">
        <v>4150789.0</v>
      </c>
      <c r="K68" s="304">
        <v>3.103074104E9</v>
      </c>
      <c r="L68" s="308"/>
      <c r="M68" s="322" t="s">
        <v>43</v>
      </c>
      <c r="N68" s="322"/>
      <c r="O68" s="310" t="s">
        <v>31</v>
      </c>
      <c r="P68" s="10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</row>
    <row r="69" ht="18.0" customHeight="1">
      <c r="A69" s="5" t="s">
        <v>16</v>
      </c>
      <c r="B69" s="106"/>
      <c r="C69" s="304" t="s">
        <v>207</v>
      </c>
      <c r="D69" s="305">
        <v>46030.0</v>
      </c>
      <c r="E69" s="306" t="s">
        <v>83</v>
      </c>
      <c r="F69" s="307" t="s">
        <v>497</v>
      </c>
      <c r="G69" s="304" t="s">
        <v>48</v>
      </c>
      <c r="H69" s="307" t="s">
        <v>496</v>
      </c>
      <c r="I69" s="304" t="s">
        <v>22</v>
      </c>
      <c r="J69" s="304">
        <v>4150789.0</v>
      </c>
      <c r="K69" s="304">
        <v>3.103074104E9</v>
      </c>
      <c r="L69" s="308"/>
      <c r="M69" s="322" t="s">
        <v>43</v>
      </c>
      <c r="N69" s="322"/>
      <c r="O69" s="310" t="s">
        <v>31</v>
      </c>
      <c r="P69" s="10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</row>
    <row r="70" ht="18.0" customHeight="1">
      <c r="A70" s="5" t="s">
        <v>16</v>
      </c>
      <c r="B70" s="106"/>
      <c r="C70" s="304" t="s">
        <v>207</v>
      </c>
      <c r="D70" s="305">
        <v>46030.0</v>
      </c>
      <c r="E70" s="306" t="s">
        <v>83</v>
      </c>
      <c r="F70" s="307" t="s">
        <v>475</v>
      </c>
      <c r="G70" s="304" t="s">
        <v>97</v>
      </c>
      <c r="H70" s="307" t="s">
        <v>498</v>
      </c>
      <c r="I70" s="304" t="s">
        <v>22</v>
      </c>
      <c r="J70" s="304">
        <v>5.1871998E7</v>
      </c>
      <c r="K70" s="304">
        <v>3.202847573E9</v>
      </c>
      <c r="L70" s="308"/>
      <c r="M70" s="322" t="s">
        <v>43</v>
      </c>
      <c r="N70" s="322"/>
      <c r="O70" s="310" t="s">
        <v>31</v>
      </c>
      <c r="P70" s="10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</row>
    <row r="71" ht="18.0" customHeight="1">
      <c r="A71" s="5" t="s">
        <v>16</v>
      </c>
      <c r="B71" s="106"/>
      <c r="C71" s="304" t="s">
        <v>207</v>
      </c>
      <c r="D71" s="305">
        <v>46030.0</v>
      </c>
      <c r="E71" s="306" t="s">
        <v>83</v>
      </c>
      <c r="F71" s="307" t="s">
        <v>499</v>
      </c>
      <c r="G71" s="304" t="s">
        <v>63</v>
      </c>
      <c r="H71" s="307" t="s">
        <v>498</v>
      </c>
      <c r="I71" s="304" t="s">
        <v>22</v>
      </c>
      <c r="J71" s="304">
        <v>5.1871998E7</v>
      </c>
      <c r="K71" s="304">
        <v>3.202847573E9</v>
      </c>
      <c r="L71" s="308"/>
      <c r="M71" s="322" t="s">
        <v>43</v>
      </c>
      <c r="N71" s="322"/>
      <c r="O71" s="310" t="s">
        <v>31</v>
      </c>
      <c r="P71" s="10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</row>
    <row r="72" ht="18.0" customHeight="1">
      <c r="A72" s="5" t="s">
        <v>16</v>
      </c>
      <c r="B72" s="106"/>
      <c r="C72" s="304" t="s">
        <v>207</v>
      </c>
      <c r="D72" s="305">
        <v>46030.0</v>
      </c>
      <c r="E72" s="306" t="s">
        <v>83</v>
      </c>
      <c r="F72" s="307" t="s">
        <v>500</v>
      </c>
      <c r="G72" s="304" t="s">
        <v>63</v>
      </c>
      <c r="H72" s="307" t="s">
        <v>501</v>
      </c>
      <c r="I72" s="304" t="s">
        <v>22</v>
      </c>
      <c r="J72" s="304">
        <v>5.1840213E7</v>
      </c>
      <c r="K72" s="304">
        <v>3.105704508E9</v>
      </c>
      <c r="L72" s="308" t="s">
        <v>502</v>
      </c>
      <c r="M72" s="322" t="s">
        <v>43</v>
      </c>
      <c r="N72" s="322"/>
      <c r="O72" s="310" t="s">
        <v>31</v>
      </c>
      <c r="P72" s="10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</row>
    <row r="73" ht="18.0" customHeight="1">
      <c r="A73" s="5" t="s">
        <v>16</v>
      </c>
      <c r="B73" s="106"/>
      <c r="C73" s="304" t="s">
        <v>207</v>
      </c>
      <c r="D73" s="305">
        <v>46030.0</v>
      </c>
      <c r="E73" s="306" t="s">
        <v>83</v>
      </c>
      <c r="F73" s="307" t="s">
        <v>475</v>
      </c>
      <c r="G73" s="304" t="s">
        <v>63</v>
      </c>
      <c r="H73" s="307" t="s">
        <v>501</v>
      </c>
      <c r="I73" s="304" t="s">
        <v>22</v>
      </c>
      <c r="J73" s="304">
        <v>5.1840213E7</v>
      </c>
      <c r="K73" s="304">
        <v>3.105704508E9</v>
      </c>
      <c r="L73" s="308"/>
      <c r="M73" s="322" t="s">
        <v>43</v>
      </c>
      <c r="N73" s="322"/>
      <c r="O73" s="310" t="s">
        <v>31</v>
      </c>
      <c r="P73" s="10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</row>
    <row r="74" ht="18.0" customHeight="1">
      <c r="A74" s="5" t="s">
        <v>16</v>
      </c>
      <c r="B74" s="318">
        <v>150000.0</v>
      </c>
      <c r="C74" s="312" t="s">
        <v>207</v>
      </c>
      <c r="D74" s="313">
        <v>46030.0</v>
      </c>
      <c r="E74" s="314" t="s">
        <v>83</v>
      </c>
      <c r="F74" s="319" t="s">
        <v>262</v>
      </c>
      <c r="G74" s="312" t="s">
        <v>20</v>
      </c>
      <c r="H74" s="315" t="s">
        <v>503</v>
      </c>
      <c r="I74" s="312" t="s">
        <v>22</v>
      </c>
      <c r="J74" s="312">
        <v>4.1786511E7</v>
      </c>
      <c r="K74" s="312">
        <v>3.112948919E9</v>
      </c>
      <c r="L74" s="320"/>
      <c r="M74" s="321" t="s">
        <v>24</v>
      </c>
      <c r="N74" s="317" t="s">
        <v>504</v>
      </c>
      <c r="O74" s="316" t="s">
        <v>505</v>
      </c>
      <c r="P74" s="10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</row>
    <row r="75" ht="18.0" customHeight="1">
      <c r="A75" s="5" t="s">
        <v>16</v>
      </c>
      <c r="B75" s="318">
        <v>136000.0</v>
      </c>
      <c r="C75" s="312" t="s">
        <v>207</v>
      </c>
      <c r="D75" s="313">
        <v>46030.0</v>
      </c>
      <c r="E75" s="314" t="s">
        <v>83</v>
      </c>
      <c r="F75" s="319" t="s">
        <v>506</v>
      </c>
      <c r="G75" s="312" t="s">
        <v>483</v>
      </c>
      <c r="H75" s="315" t="s">
        <v>503</v>
      </c>
      <c r="I75" s="312" t="s">
        <v>22</v>
      </c>
      <c r="J75" s="312">
        <v>4.1786511E7</v>
      </c>
      <c r="K75" s="312">
        <v>3.112948919E9</v>
      </c>
      <c r="L75" s="320"/>
      <c r="M75" s="321" t="s">
        <v>24</v>
      </c>
      <c r="N75" s="317" t="s">
        <v>504</v>
      </c>
      <c r="O75" s="316" t="s">
        <v>505</v>
      </c>
      <c r="P75" s="10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</row>
    <row r="76" ht="18.0" customHeight="1">
      <c r="A76" s="5" t="s">
        <v>16</v>
      </c>
      <c r="B76" s="106"/>
      <c r="C76" s="312" t="s">
        <v>207</v>
      </c>
      <c r="D76" s="313">
        <v>46030.0</v>
      </c>
      <c r="E76" s="314" t="s">
        <v>182</v>
      </c>
      <c r="F76" s="319" t="s">
        <v>79</v>
      </c>
      <c r="G76" s="312" t="s">
        <v>97</v>
      </c>
      <c r="H76" s="315" t="s">
        <v>419</v>
      </c>
      <c r="I76" s="312" t="s">
        <v>22</v>
      </c>
      <c r="J76" s="312">
        <v>1.030559123E9</v>
      </c>
      <c r="K76" s="312">
        <v>3.105889136E9</v>
      </c>
      <c r="L76" s="320"/>
      <c r="M76" s="321" t="s">
        <v>24</v>
      </c>
      <c r="N76" s="317" t="s">
        <v>507</v>
      </c>
      <c r="O76" s="316" t="s">
        <v>82</v>
      </c>
      <c r="P76" s="10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</row>
    <row r="77" ht="18.0" customHeight="1">
      <c r="A77" s="5" t="s">
        <v>16</v>
      </c>
      <c r="B77" s="318">
        <v>120000.0</v>
      </c>
      <c r="C77" s="312" t="s">
        <v>207</v>
      </c>
      <c r="D77" s="313">
        <v>46030.0</v>
      </c>
      <c r="E77" s="314" t="s">
        <v>182</v>
      </c>
      <c r="F77" s="319" t="s">
        <v>508</v>
      </c>
      <c r="G77" s="312" t="s">
        <v>56</v>
      </c>
      <c r="H77" s="315" t="s">
        <v>419</v>
      </c>
      <c r="I77" s="312" t="s">
        <v>22</v>
      </c>
      <c r="J77" s="312">
        <v>1.030559123E9</v>
      </c>
      <c r="K77" s="312">
        <v>3.105889136E9</v>
      </c>
      <c r="L77" s="320"/>
      <c r="M77" s="321" t="s">
        <v>24</v>
      </c>
      <c r="N77" s="317" t="s">
        <v>507</v>
      </c>
      <c r="O77" s="316" t="s">
        <v>82</v>
      </c>
      <c r="P77" s="10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</row>
    <row r="78" ht="18.0" customHeight="1">
      <c r="A78" s="5" t="s">
        <v>16</v>
      </c>
      <c r="B78" s="106"/>
      <c r="C78" s="312" t="s">
        <v>207</v>
      </c>
      <c r="D78" s="313">
        <v>46030.0</v>
      </c>
      <c r="E78" s="314" t="s">
        <v>182</v>
      </c>
      <c r="F78" s="319" t="s">
        <v>55</v>
      </c>
      <c r="G78" s="312" t="s">
        <v>97</v>
      </c>
      <c r="H78" s="315" t="s">
        <v>509</v>
      </c>
      <c r="I78" s="312" t="s">
        <v>22</v>
      </c>
      <c r="J78" s="312">
        <v>2.0472332E7</v>
      </c>
      <c r="K78" s="312">
        <v>3.133629981E9</v>
      </c>
      <c r="L78" s="320"/>
      <c r="M78" s="321" t="s">
        <v>24</v>
      </c>
      <c r="N78" s="317" t="s">
        <v>510</v>
      </c>
      <c r="O78" s="316" t="s">
        <v>377</v>
      </c>
      <c r="P78" s="10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</row>
    <row r="79" ht="18.0" customHeight="1">
      <c r="A79" s="5" t="s">
        <v>16</v>
      </c>
      <c r="B79" s="318">
        <v>150000.0</v>
      </c>
      <c r="C79" s="312" t="s">
        <v>207</v>
      </c>
      <c r="D79" s="313">
        <v>46030.0</v>
      </c>
      <c r="E79" s="314" t="s">
        <v>182</v>
      </c>
      <c r="F79" s="319" t="s">
        <v>262</v>
      </c>
      <c r="G79" s="312" t="s">
        <v>20</v>
      </c>
      <c r="H79" s="315" t="s">
        <v>509</v>
      </c>
      <c r="I79" s="312" t="s">
        <v>22</v>
      </c>
      <c r="J79" s="312">
        <v>2.0472332E7</v>
      </c>
      <c r="K79" s="312">
        <v>3.133629981E9</v>
      </c>
      <c r="L79" s="320"/>
      <c r="M79" s="321" t="s">
        <v>24</v>
      </c>
      <c r="N79" s="317" t="s">
        <v>510</v>
      </c>
      <c r="O79" s="316" t="s">
        <v>377</v>
      </c>
      <c r="P79" s="10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</row>
    <row r="80" ht="18.0" customHeight="1">
      <c r="A80" s="5" t="s">
        <v>16</v>
      </c>
      <c r="B80" s="318">
        <v>180000.0</v>
      </c>
      <c r="C80" s="312" t="s">
        <v>207</v>
      </c>
      <c r="D80" s="313">
        <v>46030.0</v>
      </c>
      <c r="E80" s="314" t="s">
        <v>182</v>
      </c>
      <c r="F80" s="319" t="s">
        <v>511</v>
      </c>
      <c r="G80" s="312" t="s">
        <v>483</v>
      </c>
      <c r="H80" s="315" t="s">
        <v>509</v>
      </c>
      <c r="I80" s="312" t="s">
        <v>22</v>
      </c>
      <c r="J80" s="312">
        <v>2.0472332E7</v>
      </c>
      <c r="K80" s="312">
        <v>3.133629981E9</v>
      </c>
      <c r="L80" s="320"/>
      <c r="M80" s="321" t="s">
        <v>24</v>
      </c>
      <c r="N80" s="317" t="s">
        <v>510</v>
      </c>
      <c r="O80" s="316" t="s">
        <v>377</v>
      </c>
      <c r="P80" s="10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</row>
    <row r="81" ht="18.0" customHeight="1">
      <c r="A81" s="5" t="s">
        <v>16</v>
      </c>
      <c r="B81" s="318">
        <v>500000.0</v>
      </c>
      <c r="C81" s="312" t="s">
        <v>207</v>
      </c>
      <c r="D81" s="313">
        <v>46030.0</v>
      </c>
      <c r="E81" s="314" t="s">
        <v>93</v>
      </c>
      <c r="F81" s="319" t="s">
        <v>394</v>
      </c>
      <c r="G81" s="312" t="s">
        <v>72</v>
      </c>
      <c r="H81" s="315" t="s">
        <v>512</v>
      </c>
      <c r="I81" s="312" t="s">
        <v>22</v>
      </c>
      <c r="J81" s="312">
        <v>5.1699871E7</v>
      </c>
      <c r="K81" s="312">
        <v>3.132660742E9</v>
      </c>
      <c r="L81" s="320"/>
      <c r="M81" s="321" t="s">
        <v>24</v>
      </c>
      <c r="N81" s="317" t="s">
        <v>513</v>
      </c>
      <c r="O81" s="316" t="s">
        <v>82</v>
      </c>
      <c r="P81" s="10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</row>
    <row r="82" ht="18.0" customHeight="1">
      <c r="A82" s="5" t="s">
        <v>16</v>
      </c>
      <c r="B82" s="318">
        <v>150000.0</v>
      </c>
      <c r="C82" s="312" t="s">
        <v>207</v>
      </c>
      <c r="D82" s="313">
        <v>45665.0</v>
      </c>
      <c r="E82" s="314" t="s">
        <v>93</v>
      </c>
      <c r="F82" s="319" t="s">
        <v>262</v>
      </c>
      <c r="G82" s="312" t="s">
        <v>20</v>
      </c>
      <c r="H82" s="315" t="s">
        <v>514</v>
      </c>
      <c r="I82" s="312" t="s">
        <v>515</v>
      </c>
      <c r="J82" s="312">
        <v>1.016738671E9</v>
      </c>
      <c r="K82" s="312">
        <v>3.212163247E9</v>
      </c>
      <c r="L82" s="320"/>
      <c r="M82" s="321" t="s">
        <v>24</v>
      </c>
      <c r="N82" s="317" t="s">
        <v>516</v>
      </c>
      <c r="O82" s="316" t="s">
        <v>377</v>
      </c>
      <c r="P82" s="10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</row>
    <row r="83" ht="18.0" customHeight="1">
      <c r="A83" s="5" t="s">
        <v>16</v>
      </c>
      <c r="B83" s="106"/>
      <c r="C83" s="304" t="s">
        <v>207</v>
      </c>
      <c r="D83" s="305">
        <v>45665.0</v>
      </c>
      <c r="E83" s="306" t="s">
        <v>517</v>
      </c>
      <c r="F83" s="307" t="s">
        <v>262</v>
      </c>
      <c r="G83" s="304" t="s">
        <v>20</v>
      </c>
      <c r="H83" s="330" t="s">
        <v>518</v>
      </c>
      <c r="I83" s="304" t="s">
        <v>22</v>
      </c>
      <c r="J83" s="304">
        <v>6082074.0</v>
      </c>
      <c r="K83" s="304">
        <v>3.008112809E9</v>
      </c>
      <c r="L83" s="308" t="s">
        <v>519</v>
      </c>
      <c r="M83" s="322" t="s">
        <v>43</v>
      </c>
      <c r="N83" s="322"/>
      <c r="O83" s="310" t="s">
        <v>44</v>
      </c>
      <c r="P83" s="10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</row>
    <row r="84" ht="18.0" customHeight="1">
      <c r="A84" s="5" t="s">
        <v>16</v>
      </c>
      <c r="B84" s="106"/>
      <c r="C84" s="312" t="s">
        <v>207</v>
      </c>
      <c r="D84" s="313">
        <v>45665.0</v>
      </c>
      <c r="E84" s="314" t="s">
        <v>400</v>
      </c>
      <c r="F84" s="319" t="s">
        <v>378</v>
      </c>
      <c r="G84" s="312" t="s">
        <v>48</v>
      </c>
      <c r="H84" s="315" t="s">
        <v>429</v>
      </c>
      <c r="I84" s="312" t="s">
        <v>22</v>
      </c>
      <c r="J84" s="312">
        <v>5.1713734E7</v>
      </c>
      <c r="K84" s="312">
        <v>3.114824647E9</v>
      </c>
      <c r="L84" s="320"/>
      <c r="M84" s="321" t="s">
        <v>24</v>
      </c>
      <c r="N84" s="317" t="s">
        <v>520</v>
      </c>
      <c r="O84" s="316" t="s">
        <v>31</v>
      </c>
      <c r="P84" s="10" t="s">
        <v>100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</row>
    <row r="85" ht="18.0" customHeight="1">
      <c r="A85" s="5" t="s">
        <v>16</v>
      </c>
      <c r="B85" s="318">
        <v>60000.0</v>
      </c>
      <c r="C85" s="312" t="s">
        <v>207</v>
      </c>
      <c r="D85" s="313">
        <v>45665.0</v>
      </c>
      <c r="E85" s="314" t="s">
        <v>400</v>
      </c>
      <c r="F85" s="319" t="s">
        <v>521</v>
      </c>
      <c r="G85" s="312" t="s">
        <v>483</v>
      </c>
      <c r="H85" s="315" t="s">
        <v>522</v>
      </c>
      <c r="I85" s="312" t="s">
        <v>515</v>
      </c>
      <c r="J85" s="312">
        <v>1.01905884E9</v>
      </c>
      <c r="K85" s="312">
        <v>3.004701181E9</v>
      </c>
      <c r="L85" s="320"/>
      <c r="M85" s="321" t="s">
        <v>24</v>
      </c>
      <c r="N85" s="317" t="s">
        <v>523</v>
      </c>
      <c r="O85" s="316" t="s">
        <v>377</v>
      </c>
      <c r="P85" s="10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</row>
    <row r="86" ht="18.0" customHeight="1">
      <c r="A86" s="5" t="s">
        <v>16</v>
      </c>
      <c r="B86" s="106"/>
      <c r="C86" s="312" t="s">
        <v>207</v>
      </c>
      <c r="D86" s="313">
        <v>45665.0</v>
      </c>
      <c r="E86" s="314" t="s">
        <v>400</v>
      </c>
      <c r="F86" s="319" t="s">
        <v>475</v>
      </c>
      <c r="G86" s="312" t="s">
        <v>48</v>
      </c>
      <c r="H86" s="315" t="s">
        <v>524</v>
      </c>
      <c r="I86" s="312" t="s">
        <v>22</v>
      </c>
      <c r="J86" s="312">
        <v>5.1671814E7</v>
      </c>
      <c r="K86" s="312">
        <v>3.204860305E9</v>
      </c>
      <c r="L86" s="320"/>
      <c r="M86" s="321" t="s">
        <v>24</v>
      </c>
      <c r="N86" s="317" t="s">
        <v>525</v>
      </c>
      <c r="O86" s="316" t="s">
        <v>377</v>
      </c>
      <c r="P86" s="10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</row>
    <row r="87" ht="18.0" customHeight="1">
      <c r="A87" s="5" t="s">
        <v>16</v>
      </c>
      <c r="B87" s="318">
        <v>100000.0</v>
      </c>
      <c r="C87" s="312" t="s">
        <v>207</v>
      </c>
      <c r="D87" s="313">
        <v>45665.0</v>
      </c>
      <c r="E87" s="314" t="s">
        <v>400</v>
      </c>
      <c r="F87" s="319" t="s">
        <v>526</v>
      </c>
      <c r="G87" s="312" t="s">
        <v>20</v>
      </c>
      <c r="H87" s="315" t="s">
        <v>527</v>
      </c>
      <c r="I87" s="312" t="s">
        <v>22</v>
      </c>
      <c r="J87" s="312">
        <v>2.068397E7</v>
      </c>
      <c r="K87" s="312">
        <v>3.204860305E9</v>
      </c>
      <c r="L87" s="320"/>
      <c r="M87" s="321" t="s">
        <v>24</v>
      </c>
      <c r="N87" s="317" t="s">
        <v>528</v>
      </c>
      <c r="O87" s="316" t="s">
        <v>377</v>
      </c>
      <c r="P87" s="10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</row>
    <row r="88" ht="18.0" customHeight="1">
      <c r="A88" s="5" t="s">
        <v>16</v>
      </c>
      <c r="B88" s="318">
        <v>120000.0</v>
      </c>
      <c r="C88" s="312" t="s">
        <v>207</v>
      </c>
      <c r="D88" s="313">
        <v>45665.0</v>
      </c>
      <c r="E88" s="314" t="s">
        <v>400</v>
      </c>
      <c r="F88" s="319" t="s">
        <v>475</v>
      </c>
      <c r="G88" s="312" t="s">
        <v>56</v>
      </c>
      <c r="H88" s="315" t="s">
        <v>527</v>
      </c>
      <c r="I88" s="312" t="s">
        <v>22</v>
      </c>
      <c r="J88" s="312">
        <v>2.068397E7</v>
      </c>
      <c r="K88" s="312">
        <v>3.204860305E9</v>
      </c>
      <c r="L88" s="320"/>
      <c r="M88" s="321" t="s">
        <v>24</v>
      </c>
      <c r="N88" s="317" t="s">
        <v>528</v>
      </c>
      <c r="O88" s="316" t="s">
        <v>377</v>
      </c>
      <c r="P88" s="10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</row>
    <row r="89" ht="18.0" customHeight="1">
      <c r="A89" s="5" t="s">
        <v>16</v>
      </c>
      <c r="B89" s="318">
        <v>210000.0</v>
      </c>
      <c r="C89" s="312" t="s">
        <v>207</v>
      </c>
      <c r="D89" s="313">
        <v>45665.0</v>
      </c>
      <c r="E89" s="314" t="s">
        <v>400</v>
      </c>
      <c r="F89" s="319" t="s">
        <v>529</v>
      </c>
      <c r="G89" s="312" t="s">
        <v>56</v>
      </c>
      <c r="H89" s="315" t="s">
        <v>527</v>
      </c>
      <c r="I89" s="312" t="s">
        <v>22</v>
      </c>
      <c r="J89" s="312">
        <v>2.068397E7</v>
      </c>
      <c r="K89" s="312">
        <v>3.204860305E9</v>
      </c>
      <c r="L89" s="320" t="s">
        <v>530</v>
      </c>
      <c r="M89" s="321" t="s">
        <v>24</v>
      </c>
      <c r="N89" s="317" t="s">
        <v>528</v>
      </c>
      <c r="O89" s="316" t="s">
        <v>377</v>
      </c>
      <c r="P89" s="10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</row>
    <row r="90" ht="18.0" customHeight="1">
      <c r="A90" s="5" t="s">
        <v>16</v>
      </c>
      <c r="B90" s="318">
        <v>150000.0</v>
      </c>
      <c r="C90" s="312" t="s">
        <v>207</v>
      </c>
      <c r="D90" s="313">
        <v>45665.0</v>
      </c>
      <c r="E90" s="314" t="s">
        <v>531</v>
      </c>
      <c r="F90" s="319" t="s">
        <v>262</v>
      </c>
      <c r="G90" s="312" t="s">
        <v>20</v>
      </c>
      <c r="H90" s="315" t="s">
        <v>532</v>
      </c>
      <c r="I90" s="312" t="s">
        <v>22</v>
      </c>
      <c r="J90" s="312">
        <v>4.0781167E7</v>
      </c>
      <c r="K90" s="312">
        <v>3.103787343E9</v>
      </c>
      <c r="L90" s="320"/>
      <c r="M90" s="321" t="s">
        <v>24</v>
      </c>
      <c r="N90" s="317" t="s">
        <v>533</v>
      </c>
      <c r="O90" s="316" t="s">
        <v>534</v>
      </c>
      <c r="P90" s="10"/>
      <c r="Q90" s="7"/>
      <c r="R90" s="7"/>
      <c r="S90" s="7"/>
      <c r="T90" s="7"/>
      <c r="U90" s="7"/>
      <c r="V90" s="7"/>
      <c r="W90" s="7">
        <v>46028.39471064815</v>
      </c>
      <c r="X90" s="7" t="s">
        <v>125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</row>
    <row r="91" ht="18.0" customHeight="1">
      <c r="A91" s="5" t="s">
        <v>16</v>
      </c>
      <c r="B91" s="318">
        <v>180000.0</v>
      </c>
      <c r="C91" s="312" t="s">
        <v>207</v>
      </c>
      <c r="D91" s="313">
        <v>45665.0</v>
      </c>
      <c r="E91" s="314" t="s">
        <v>531</v>
      </c>
      <c r="F91" s="319" t="s">
        <v>535</v>
      </c>
      <c r="G91" s="312" t="s">
        <v>483</v>
      </c>
      <c r="H91" s="315" t="s">
        <v>532</v>
      </c>
      <c r="I91" s="312" t="s">
        <v>22</v>
      </c>
      <c r="J91" s="312">
        <v>4.0781167E7</v>
      </c>
      <c r="K91" s="312">
        <v>3.103787343E9</v>
      </c>
      <c r="L91" s="320"/>
      <c r="M91" s="321" t="s">
        <v>24</v>
      </c>
      <c r="N91" s="317" t="s">
        <v>533</v>
      </c>
      <c r="O91" s="316" t="s">
        <v>534</v>
      </c>
      <c r="P91" s="10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</row>
    <row r="92" ht="18.0" customHeight="1">
      <c r="A92" s="5" t="s">
        <v>16</v>
      </c>
      <c r="B92" s="318">
        <v>370000.0</v>
      </c>
      <c r="C92" s="312" t="s">
        <v>207</v>
      </c>
      <c r="D92" s="313">
        <v>45665.0</v>
      </c>
      <c r="E92" s="314" t="s">
        <v>531</v>
      </c>
      <c r="F92" s="319" t="s">
        <v>475</v>
      </c>
      <c r="G92" s="312" t="s">
        <v>72</v>
      </c>
      <c r="H92" s="315" t="s">
        <v>532</v>
      </c>
      <c r="I92" s="312" t="s">
        <v>22</v>
      </c>
      <c r="J92" s="312">
        <v>4.0781167E7</v>
      </c>
      <c r="K92" s="312">
        <v>3.103787343E9</v>
      </c>
      <c r="L92" s="320"/>
      <c r="M92" s="321" t="s">
        <v>24</v>
      </c>
      <c r="N92" s="317" t="s">
        <v>533</v>
      </c>
      <c r="O92" s="316" t="s">
        <v>534</v>
      </c>
      <c r="P92" s="10"/>
      <c r="Q92" s="7"/>
      <c r="R92" s="7"/>
      <c r="S92" s="7"/>
      <c r="T92" s="7"/>
      <c r="U92" s="7"/>
      <c r="V92" s="7"/>
      <c r="W92" s="7">
        <v>46028.39471064815</v>
      </c>
      <c r="X92" s="7" t="s">
        <v>125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</row>
    <row r="93" ht="18.0" customHeight="1">
      <c r="A93" s="5" t="s">
        <v>16</v>
      </c>
      <c r="B93" s="106"/>
      <c r="C93" s="312" t="s">
        <v>207</v>
      </c>
      <c r="D93" s="313">
        <v>45665.0</v>
      </c>
      <c r="E93" s="314" t="s">
        <v>531</v>
      </c>
      <c r="F93" s="319" t="s">
        <v>536</v>
      </c>
      <c r="G93" s="312" t="s">
        <v>72</v>
      </c>
      <c r="H93" s="315" t="s">
        <v>532</v>
      </c>
      <c r="I93" s="312" t="s">
        <v>22</v>
      </c>
      <c r="J93" s="312">
        <v>4.0781167E7</v>
      </c>
      <c r="K93" s="312">
        <v>3.103787343E9</v>
      </c>
      <c r="L93" s="320" t="s">
        <v>537</v>
      </c>
      <c r="M93" s="321" t="s">
        <v>24</v>
      </c>
      <c r="N93" s="317" t="s">
        <v>533</v>
      </c>
      <c r="O93" s="316" t="s">
        <v>534</v>
      </c>
      <c r="P93" s="10"/>
      <c r="Q93" s="7"/>
      <c r="R93" s="7"/>
      <c r="S93" s="7"/>
      <c r="T93" s="7"/>
      <c r="U93" s="7"/>
      <c r="V93" s="7"/>
      <c r="W93" s="7">
        <v>46028.39471064815</v>
      </c>
      <c r="X93" s="7" t="s">
        <v>125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</row>
    <row r="94" ht="18.0" customHeight="1">
      <c r="A94" s="5" t="s">
        <v>16</v>
      </c>
      <c r="B94" s="318">
        <v>300000.0</v>
      </c>
      <c r="C94" s="312" t="s">
        <v>207</v>
      </c>
      <c r="D94" s="313">
        <v>45665.0</v>
      </c>
      <c r="E94" s="314" t="s">
        <v>130</v>
      </c>
      <c r="F94" s="319" t="s">
        <v>538</v>
      </c>
      <c r="G94" s="312" t="s">
        <v>97</v>
      </c>
      <c r="H94" s="315" t="s">
        <v>539</v>
      </c>
      <c r="I94" s="312" t="s">
        <v>22</v>
      </c>
      <c r="J94" s="312">
        <v>7.9044739E7</v>
      </c>
      <c r="K94" s="312">
        <v>3.143350029E9</v>
      </c>
      <c r="L94" s="320"/>
      <c r="M94" s="321" t="s">
        <v>24</v>
      </c>
      <c r="N94" s="317" t="s">
        <v>540</v>
      </c>
      <c r="O94" s="316" t="s">
        <v>113</v>
      </c>
      <c r="P94" s="10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</row>
    <row r="95" ht="18.0" customHeight="1">
      <c r="A95" s="295"/>
      <c r="B95" s="296"/>
      <c r="C95" s="295"/>
      <c r="D95" s="297"/>
      <c r="E95" s="295"/>
      <c r="F95" s="298"/>
      <c r="G95" s="295"/>
      <c r="H95" s="298"/>
      <c r="I95" s="295"/>
      <c r="J95" s="295"/>
      <c r="K95" s="295"/>
      <c r="L95" s="295"/>
      <c r="M95" s="329"/>
      <c r="N95" s="295"/>
      <c r="O95" s="295"/>
      <c r="P95" s="298"/>
      <c r="Q95" s="303"/>
      <c r="R95" s="303"/>
      <c r="S95" s="303"/>
      <c r="T95" s="303"/>
      <c r="U95" s="303"/>
      <c r="V95" s="303"/>
      <c r="W95" s="303"/>
      <c r="X95" s="303"/>
      <c r="Y95" s="303"/>
      <c r="Z95" s="303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  <c r="BW95" s="303"/>
      <c r="BX95" s="303"/>
      <c r="BY95" s="303"/>
      <c r="BZ95" s="303"/>
      <c r="CA95" s="303"/>
      <c r="CB95" s="303"/>
      <c r="CC95" s="303"/>
      <c r="CD95" s="303"/>
      <c r="CE95" s="303"/>
      <c r="CF95" s="303"/>
      <c r="CG95" s="303"/>
      <c r="CH95" s="303"/>
      <c r="CI95" s="303"/>
      <c r="CJ95" s="303"/>
      <c r="CK95" s="303"/>
      <c r="CL95" s="303"/>
      <c r="CM95" s="303"/>
      <c r="CN95" s="303"/>
      <c r="CO95" s="303"/>
      <c r="CP95" s="303"/>
      <c r="CQ95" s="303"/>
      <c r="CR95" s="303"/>
      <c r="CS95" s="303"/>
      <c r="CT95" s="303"/>
      <c r="CU95" s="303"/>
      <c r="CV95" s="303"/>
      <c r="CW95" s="303"/>
      <c r="CX95" s="303"/>
      <c r="CY95" s="303"/>
    </row>
    <row r="96" ht="18.0" customHeight="1">
      <c r="A96" s="5" t="s">
        <v>16</v>
      </c>
      <c r="B96" s="318">
        <v>150000.0</v>
      </c>
      <c r="C96" s="312" t="s">
        <v>62</v>
      </c>
      <c r="D96" s="313">
        <v>46031.0</v>
      </c>
      <c r="E96" s="314" t="s">
        <v>18</v>
      </c>
      <c r="F96" s="319" t="s">
        <v>262</v>
      </c>
      <c r="G96" s="312" t="s">
        <v>20</v>
      </c>
      <c r="H96" s="315" t="s">
        <v>541</v>
      </c>
      <c r="I96" s="312" t="s">
        <v>22</v>
      </c>
      <c r="J96" s="312">
        <v>3.9306315E7</v>
      </c>
      <c r="K96" s="312">
        <v>3.023876555E9</v>
      </c>
      <c r="L96" s="320"/>
      <c r="M96" s="321" t="s">
        <v>24</v>
      </c>
      <c r="N96" s="317" t="s">
        <v>542</v>
      </c>
      <c r="O96" s="316" t="s">
        <v>31</v>
      </c>
      <c r="P96" s="10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</row>
    <row r="97" ht="18.0" customHeight="1">
      <c r="A97" s="5" t="s">
        <v>16</v>
      </c>
      <c r="B97" s="318">
        <v>60000.0</v>
      </c>
      <c r="C97" s="312" t="s">
        <v>62</v>
      </c>
      <c r="D97" s="313">
        <v>46031.0</v>
      </c>
      <c r="E97" s="314" t="s">
        <v>18</v>
      </c>
      <c r="F97" s="319" t="s">
        <v>543</v>
      </c>
      <c r="G97" s="312" t="s">
        <v>483</v>
      </c>
      <c r="H97" s="315" t="s">
        <v>541</v>
      </c>
      <c r="I97" s="312" t="s">
        <v>22</v>
      </c>
      <c r="J97" s="312">
        <v>3.9306315E7</v>
      </c>
      <c r="K97" s="312">
        <v>3.023876555E9</v>
      </c>
      <c r="L97" s="320" t="s">
        <v>544</v>
      </c>
      <c r="M97" s="321" t="s">
        <v>24</v>
      </c>
      <c r="N97" s="317" t="s">
        <v>542</v>
      </c>
      <c r="O97" s="316" t="s">
        <v>31</v>
      </c>
      <c r="P97" s="10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</row>
    <row r="98" ht="18.0" customHeight="1">
      <c r="A98" s="5" t="s">
        <v>16</v>
      </c>
      <c r="B98" s="318">
        <v>170000.0</v>
      </c>
      <c r="C98" s="312" t="s">
        <v>62</v>
      </c>
      <c r="D98" s="313">
        <v>46031.0</v>
      </c>
      <c r="E98" s="314" t="s">
        <v>18</v>
      </c>
      <c r="F98" s="319" t="s">
        <v>545</v>
      </c>
      <c r="G98" s="312" t="s">
        <v>56</v>
      </c>
      <c r="H98" s="315" t="s">
        <v>541</v>
      </c>
      <c r="I98" s="312" t="s">
        <v>22</v>
      </c>
      <c r="J98" s="312">
        <v>3.9306315E7</v>
      </c>
      <c r="K98" s="312">
        <v>3.023876555E9</v>
      </c>
      <c r="L98" s="320"/>
      <c r="M98" s="321" t="s">
        <v>24</v>
      </c>
      <c r="N98" s="317" t="s">
        <v>542</v>
      </c>
      <c r="O98" s="316" t="s">
        <v>31</v>
      </c>
      <c r="P98" s="10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</row>
    <row r="99" ht="18.0" customHeight="1">
      <c r="A99" s="5" t="s">
        <v>16</v>
      </c>
      <c r="B99" s="106"/>
      <c r="C99" s="312" t="s">
        <v>62</v>
      </c>
      <c r="D99" s="313">
        <v>46031.0</v>
      </c>
      <c r="E99" s="314" t="s">
        <v>305</v>
      </c>
      <c r="F99" s="319" t="s">
        <v>381</v>
      </c>
      <c r="G99" s="312" t="s">
        <v>63</v>
      </c>
      <c r="H99" s="315" t="s">
        <v>379</v>
      </c>
      <c r="I99" s="312" t="s">
        <v>22</v>
      </c>
      <c r="J99" s="312">
        <v>7.9655441E7</v>
      </c>
      <c r="K99" s="312">
        <v>3.150584678E9</v>
      </c>
      <c r="L99" s="320"/>
      <c r="M99" s="321" t="s">
        <v>24</v>
      </c>
      <c r="N99" s="317" t="s">
        <v>546</v>
      </c>
      <c r="O99" s="316" t="s">
        <v>377</v>
      </c>
      <c r="P99" s="10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</row>
    <row r="100" ht="18.0" customHeight="1">
      <c r="A100" s="5" t="s">
        <v>16</v>
      </c>
      <c r="B100" s="318">
        <v>500000.0</v>
      </c>
      <c r="C100" s="312" t="s">
        <v>62</v>
      </c>
      <c r="D100" s="313">
        <v>46031.0</v>
      </c>
      <c r="E100" s="314" t="s">
        <v>305</v>
      </c>
      <c r="F100" s="319" t="s">
        <v>547</v>
      </c>
      <c r="G100" s="312" t="s">
        <v>72</v>
      </c>
      <c r="H100" s="315" t="s">
        <v>379</v>
      </c>
      <c r="I100" s="312" t="s">
        <v>22</v>
      </c>
      <c r="J100" s="312">
        <v>7.9655441E7</v>
      </c>
      <c r="K100" s="312">
        <v>3.150584678E9</v>
      </c>
      <c r="L100" s="320"/>
      <c r="M100" s="321" t="s">
        <v>24</v>
      </c>
      <c r="N100" s="317" t="s">
        <v>546</v>
      </c>
      <c r="O100" s="316" t="s">
        <v>377</v>
      </c>
      <c r="P100" s="10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</row>
    <row r="101" ht="18.0" customHeight="1">
      <c r="A101" s="5" t="s">
        <v>16</v>
      </c>
      <c r="B101" s="106"/>
      <c r="C101" s="312" t="s">
        <v>62</v>
      </c>
      <c r="D101" s="313">
        <v>46031.0</v>
      </c>
      <c r="E101" s="314" t="s">
        <v>83</v>
      </c>
      <c r="F101" s="319" t="s">
        <v>55</v>
      </c>
      <c r="G101" s="312" t="s">
        <v>97</v>
      </c>
      <c r="H101" s="315" t="s">
        <v>403</v>
      </c>
      <c r="I101" s="312" t="s">
        <v>22</v>
      </c>
      <c r="J101" s="312">
        <v>4.1713236E7</v>
      </c>
      <c r="K101" s="312">
        <v>3.133962403E9</v>
      </c>
      <c r="L101" s="320"/>
      <c r="M101" s="321" t="s">
        <v>24</v>
      </c>
      <c r="N101" s="317" t="s">
        <v>548</v>
      </c>
      <c r="O101" s="316" t="s">
        <v>82</v>
      </c>
      <c r="P101" s="10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</row>
    <row r="102" ht="18.0" customHeight="1">
      <c r="A102" s="5" t="s">
        <v>16</v>
      </c>
      <c r="B102" s="318">
        <v>150000.0</v>
      </c>
      <c r="C102" s="312" t="s">
        <v>62</v>
      </c>
      <c r="D102" s="313">
        <v>46031.0</v>
      </c>
      <c r="E102" s="314" t="s">
        <v>83</v>
      </c>
      <c r="F102" s="319" t="s">
        <v>262</v>
      </c>
      <c r="G102" s="312" t="s">
        <v>20</v>
      </c>
      <c r="H102" s="315" t="s">
        <v>549</v>
      </c>
      <c r="I102" s="312" t="s">
        <v>22</v>
      </c>
      <c r="J102" s="312">
        <v>422302.0</v>
      </c>
      <c r="K102" s="312">
        <v>3.043454472E9</v>
      </c>
      <c r="L102" s="320"/>
      <c r="M102" s="321" t="s">
        <v>24</v>
      </c>
      <c r="N102" s="317" t="s">
        <v>550</v>
      </c>
      <c r="O102" s="316" t="s">
        <v>31</v>
      </c>
      <c r="P102" s="10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</row>
    <row r="103" ht="18.0" customHeight="1">
      <c r="A103" s="5" t="s">
        <v>16</v>
      </c>
      <c r="B103" s="318">
        <v>240000.0</v>
      </c>
      <c r="C103" s="312" t="s">
        <v>62</v>
      </c>
      <c r="D103" s="313">
        <v>46031.0</v>
      </c>
      <c r="E103" s="314" t="s">
        <v>83</v>
      </c>
      <c r="F103" s="319" t="s">
        <v>551</v>
      </c>
      <c r="G103" s="312" t="s">
        <v>483</v>
      </c>
      <c r="H103" s="315" t="s">
        <v>549</v>
      </c>
      <c r="I103" s="312" t="s">
        <v>22</v>
      </c>
      <c r="J103" s="312">
        <v>422302.0</v>
      </c>
      <c r="K103" s="312">
        <v>3.043454472E9</v>
      </c>
      <c r="L103" s="320"/>
      <c r="M103" s="321" t="s">
        <v>24</v>
      </c>
      <c r="N103" s="317" t="s">
        <v>550</v>
      </c>
      <c r="O103" s="316" t="s">
        <v>31</v>
      </c>
      <c r="P103" s="10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</row>
    <row r="104" ht="18.0" customHeight="1">
      <c r="A104" s="5" t="s">
        <v>16</v>
      </c>
      <c r="B104" s="318">
        <v>340000.0</v>
      </c>
      <c r="C104" s="312" t="s">
        <v>62</v>
      </c>
      <c r="D104" s="313">
        <v>46031.0</v>
      </c>
      <c r="E104" s="314" t="s">
        <v>83</v>
      </c>
      <c r="F104" s="319" t="s">
        <v>552</v>
      </c>
      <c r="G104" s="312" t="s">
        <v>56</v>
      </c>
      <c r="H104" s="315" t="s">
        <v>549</v>
      </c>
      <c r="I104" s="312" t="s">
        <v>22</v>
      </c>
      <c r="J104" s="312">
        <v>422302.0</v>
      </c>
      <c r="K104" s="312">
        <v>3.043454472E9</v>
      </c>
      <c r="L104" s="320"/>
      <c r="M104" s="321" t="s">
        <v>24</v>
      </c>
      <c r="N104" s="317" t="s">
        <v>550</v>
      </c>
      <c r="O104" s="316" t="s">
        <v>31</v>
      </c>
      <c r="P104" s="10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</row>
    <row r="105" ht="18.0" customHeight="1">
      <c r="A105" s="5" t="s">
        <v>16</v>
      </c>
      <c r="B105" s="318">
        <v>220000.0</v>
      </c>
      <c r="C105" s="312" t="s">
        <v>62</v>
      </c>
      <c r="D105" s="313">
        <v>46031.0</v>
      </c>
      <c r="E105" s="314" t="s">
        <v>83</v>
      </c>
      <c r="F105" s="319" t="s">
        <v>475</v>
      </c>
      <c r="G105" s="312" t="s">
        <v>56</v>
      </c>
      <c r="H105" s="315" t="s">
        <v>549</v>
      </c>
      <c r="I105" s="312" t="s">
        <v>22</v>
      </c>
      <c r="J105" s="312">
        <v>422302.0</v>
      </c>
      <c r="K105" s="312">
        <v>3.043454472E9</v>
      </c>
      <c r="L105" s="320"/>
      <c r="M105" s="321" t="s">
        <v>24</v>
      </c>
      <c r="N105" s="317" t="s">
        <v>550</v>
      </c>
      <c r="O105" s="316" t="s">
        <v>31</v>
      </c>
      <c r="P105" s="10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</row>
    <row r="106" ht="18.0" customHeight="1">
      <c r="A106" s="5" t="s">
        <v>16</v>
      </c>
      <c r="B106" s="318">
        <v>150000.0</v>
      </c>
      <c r="C106" s="312" t="s">
        <v>62</v>
      </c>
      <c r="D106" s="313">
        <v>46031.0</v>
      </c>
      <c r="E106" s="314" t="s">
        <v>182</v>
      </c>
      <c r="F106" s="319" t="s">
        <v>262</v>
      </c>
      <c r="G106" s="312" t="s">
        <v>20</v>
      </c>
      <c r="H106" s="315" t="s">
        <v>553</v>
      </c>
      <c r="I106" s="312" t="s">
        <v>22</v>
      </c>
      <c r="J106" s="312">
        <v>4.0024236E7</v>
      </c>
      <c r="K106" s="312">
        <v>3.142744518E9</v>
      </c>
      <c r="L106" s="320"/>
      <c r="M106" s="321" t="s">
        <v>24</v>
      </c>
      <c r="N106" s="317" t="s">
        <v>554</v>
      </c>
      <c r="O106" s="316" t="s">
        <v>444</v>
      </c>
      <c r="P106" s="10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</row>
    <row r="107" ht="18.0" customHeight="1">
      <c r="A107" s="5" t="s">
        <v>16</v>
      </c>
      <c r="B107" s="318">
        <v>370000.0</v>
      </c>
      <c r="C107" s="312" t="s">
        <v>62</v>
      </c>
      <c r="D107" s="313">
        <v>46031.0</v>
      </c>
      <c r="E107" s="314" t="s">
        <v>182</v>
      </c>
      <c r="F107" s="319" t="s">
        <v>555</v>
      </c>
      <c r="G107" s="312" t="s">
        <v>483</v>
      </c>
      <c r="H107" s="315" t="s">
        <v>553</v>
      </c>
      <c r="I107" s="312" t="s">
        <v>22</v>
      </c>
      <c r="J107" s="312">
        <v>4.0024236E7</v>
      </c>
      <c r="K107" s="312">
        <v>3.142744518E9</v>
      </c>
      <c r="L107" s="320"/>
      <c r="M107" s="321" t="s">
        <v>24</v>
      </c>
      <c r="N107" s="317" t="s">
        <v>554</v>
      </c>
      <c r="O107" s="316" t="s">
        <v>444</v>
      </c>
      <c r="P107" s="10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</row>
    <row r="108" ht="18.0" customHeight="1">
      <c r="A108" s="5" t="s">
        <v>16</v>
      </c>
      <c r="B108" s="318">
        <v>220000.0</v>
      </c>
      <c r="C108" s="312" t="s">
        <v>62</v>
      </c>
      <c r="D108" s="313">
        <v>46031.0</v>
      </c>
      <c r="E108" s="314" t="s">
        <v>182</v>
      </c>
      <c r="F108" s="319" t="s">
        <v>475</v>
      </c>
      <c r="G108" s="312" t="s">
        <v>56</v>
      </c>
      <c r="H108" s="315" t="s">
        <v>553</v>
      </c>
      <c r="I108" s="312" t="s">
        <v>22</v>
      </c>
      <c r="J108" s="312">
        <v>4.0024236E7</v>
      </c>
      <c r="K108" s="312">
        <v>3.142744518E9</v>
      </c>
      <c r="L108" s="320"/>
      <c r="M108" s="321" t="s">
        <v>24</v>
      </c>
      <c r="N108" s="317" t="s">
        <v>554</v>
      </c>
      <c r="O108" s="316" t="s">
        <v>444</v>
      </c>
      <c r="P108" s="10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</row>
    <row r="109" ht="18.0" customHeight="1">
      <c r="A109" s="5" t="s">
        <v>16</v>
      </c>
      <c r="B109" s="318">
        <v>340000.0</v>
      </c>
      <c r="C109" s="312" t="s">
        <v>62</v>
      </c>
      <c r="D109" s="313">
        <v>46031.0</v>
      </c>
      <c r="E109" s="314" t="s">
        <v>182</v>
      </c>
      <c r="F109" s="319" t="s">
        <v>556</v>
      </c>
      <c r="G109" s="312" t="s">
        <v>56</v>
      </c>
      <c r="H109" s="315" t="s">
        <v>553</v>
      </c>
      <c r="I109" s="312" t="s">
        <v>22</v>
      </c>
      <c r="J109" s="312">
        <v>4.0024236E7</v>
      </c>
      <c r="K109" s="312">
        <v>3.142744518E9</v>
      </c>
      <c r="L109" s="320"/>
      <c r="M109" s="321" t="s">
        <v>24</v>
      </c>
      <c r="N109" s="317" t="s">
        <v>554</v>
      </c>
      <c r="O109" s="316" t="s">
        <v>444</v>
      </c>
      <c r="P109" s="10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</row>
    <row r="110" ht="18.0" customHeight="1">
      <c r="A110" s="5" t="s">
        <v>16</v>
      </c>
      <c r="B110" s="106"/>
      <c r="C110" s="312" t="s">
        <v>62</v>
      </c>
      <c r="D110" s="313">
        <v>46031.0</v>
      </c>
      <c r="E110" s="314" t="s">
        <v>182</v>
      </c>
      <c r="F110" s="319" t="s">
        <v>55</v>
      </c>
      <c r="G110" s="312" t="s">
        <v>48</v>
      </c>
      <c r="H110" s="315" t="s">
        <v>392</v>
      </c>
      <c r="I110" s="312" t="s">
        <v>22</v>
      </c>
      <c r="J110" s="312">
        <v>4479922.0</v>
      </c>
      <c r="K110" s="312">
        <v>3.13308992E9</v>
      </c>
      <c r="L110" s="320"/>
      <c r="M110" s="321" t="s">
        <v>24</v>
      </c>
      <c r="N110" s="317" t="s">
        <v>557</v>
      </c>
      <c r="O110" s="316" t="s">
        <v>377</v>
      </c>
      <c r="P110" s="10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</row>
    <row r="111" ht="18.0" customHeight="1">
      <c r="A111" s="5" t="s">
        <v>16</v>
      </c>
      <c r="B111" s="106"/>
      <c r="C111" s="304" t="s">
        <v>62</v>
      </c>
      <c r="D111" s="305">
        <v>46031.0</v>
      </c>
      <c r="E111" s="306" t="s">
        <v>182</v>
      </c>
      <c r="F111" s="307" t="s">
        <v>55</v>
      </c>
      <c r="G111" s="304" t="s">
        <v>48</v>
      </c>
      <c r="H111" s="307" t="s">
        <v>558</v>
      </c>
      <c r="I111" s="304" t="s">
        <v>22</v>
      </c>
      <c r="J111" s="304">
        <v>3.5516114E7</v>
      </c>
      <c r="K111" s="304">
        <v>3.202342816E9</v>
      </c>
      <c r="L111" s="308" t="s">
        <v>559</v>
      </c>
      <c r="M111" s="322" t="s">
        <v>560</v>
      </c>
      <c r="N111" s="322"/>
      <c r="O111" s="310" t="s">
        <v>44</v>
      </c>
      <c r="P111" s="10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</row>
    <row r="112" ht="18.0" customHeight="1">
      <c r="A112" s="5" t="s">
        <v>16</v>
      </c>
      <c r="B112" s="106"/>
      <c r="C112" s="304" t="s">
        <v>62</v>
      </c>
      <c r="D112" s="305">
        <v>46031.0</v>
      </c>
      <c r="E112" s="306" t="s">
        <v>93</v>
      </c>
      <c r="F112" s="307" t="s">
        <v>561</v>
      </c>
      <c r="G112" s="304" t="s">
        <v>97</v>
      </c>
      <c r="H112" s="307" t="s">
        <v>562</v>
      </c>
      <c r="I112" s="304" t="s">
        <v>22</v>
      </c>
      <c r="J112" s="304">
        <v>5.2186794E7</v>
      </c>
      <c r="K112" s="304">
        <v>3.005647166E9</v>
      </c>
      <c r="L112" s="308" t="s">
        <v>563</v>
      </c>
      <c r="M112" s="322" t="s">
        <v>43</v>
      </c>
      <c r="N112" s="322"/>
      <c r="O112" s="310" t="s">
        <v>377</v>
      </c>
      <c r="P112" s="10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</row>
    <row r="113" ht="18.0" customHeight="1">
      <c r="A113" s="5" t="s">
        <v>16</v>
      </c>
      <c r="B113" s="106"/>
      <c r="C113" s="304" t="s">
        <v>62</v>
      </c>
      <c r="D113" s="305">
        <v>46031.0</v>
      </c>
      <c r="E113" s="306" t="s">
        <v>93</v>
      </c>
      <c r="F113" s="307" t="s">
        <v>475</v>
      </c>
      <c r="G113" s="304" t="s">
        <v>48</v>
      </c>
      <c r="H113" s="307" t="s">
        <v>564</v>
      </c>
      <c r="I113" s="304" t="s">
        <v>22</v>
      </c>
      <c r="J113" s="304">
        <v>1.013654785E9</v>
      </c>
      <c r="K113" s="304">
        <v>3.114916115E9</v>
      </c>
      <c r="L113" s="308" t="s">
        <v>563</v>
      </c>
      <c r="M113" s="322" t="s">
        <v>43</v>
      </c>
      <c r="N113" s="322"/>
      <c r="O113" s="310" t="s">
        <v>377</v>
      </c>
      <c r="P113" s="10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</row>
    <row r="114" ht="18.0" customHeight="1">
      <c r="A114" s="5" t="s">
        <v>16</v>
      </c>
      <c r="B114" s="106"/>
      <c r="C114" s="312" t="s">
        <v>62</v>
      </c>
      <c r="D114" s="313">
        <v>46031.0</v>
      </c>
      <c r="E114" s="314" t="s">
        <v>93</v>
      </c>
      <c r="F114" s="319" t="s">
        <v>55</v>
      </c>
      <c r="G114" s="312" t="s">
        <v>48</v>
      </c>
      <c r="H114" s="315" t="s">
        <v>385</v>
      </c>
      <c r="I114" s="312" t="s">
        <v>22</v>
      </c>
      <c r="J114" s="312">
        <v>2.9135483E7</v>
      </c>
      <c r="K114" s="312">
        <v>3.11850675E9</v>
      </c>
      <c r="L114" s="320"/>
      <c r="M114" s="321" t="s">
        <v>24</v>
      </c>
      <c r="N114" s="317" t="s">
        <v>565</v>
      </c>
      <c r="O114" s="316" t="s">
        <v>377</v>
      </c>
      <c r="P114" s="10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</row>
    <row r="115" ht="18.0" customHeight="1">
      <c r="A115" s="5" t="s">
        <v>16</v>
      </c>
      <c r="B115" s="106"/>
      <c r="C115" s="312" t="s">
        <v>62</v>
      </c>
      <c r="D115" s="313">
        <v>46031.0</v>
      </c>
      <c r="E115" s="314" t="s">
        <v>93</v>
      </c>
      <c r="F115" s="319" t="s">
        <v>394</v>
      </c>
      <c r="G115" s="312" t="s">
        <v>48</v>
      </c>
      <c r="H115" s="315" t="s">
        <v>395</v>
      </c>
      <c r="I115" s="312" t="s">
        <v>22</v>
      </c>
      <c r="J115" s="312">
        <v>3.540476E7</v>
      </c>
      <c r="K115" s="312">
        <v>3.134796989E9</v>
      </c>
      <c r="L115" s="320"/>
      <c r="M115" s="321" t="s">
        <v>24</v>
      </c>
      <c r="N115" s="317" t="s">
        <v>566</v>
      </c>
      <c r="O115" s="316" t="s">
        <v>377</v>
      </c>
      <c r="P115" s="10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</row>
    <row r="116" ht="18.0" customHeight="1">
      <c r="A116" s="5" t="s">
        <v>16</v>
      </c>
      <c r="B116" s="106"/>
      <c r="C116" s="304" t="s">
        <v>62</v>
      </c>
      <c r="D116" s="305">
        <v>46031.0</v>
      </c>
      <c r="E116" s="306" t="s">
        <v>93</v>
      </c>
      <c r="F116" s="307" t="s">
        <v>262</v>
      </c>
      <c r="G116" s="304" t="s">
        <v>20</v>
      </c>
      <c r="H116" s="307" t="s">
        <v>567</v>
      </c>
      <c r="I116" s="304" t="s">
        <v>22</v>
      </c>
      <c r="J116" s="304">
        <v>4.0215434E7</v>
      </c>
      <c r="K116" s="304">
        <v>3.108899362E9</v>
      </c>
      <c r="L116" s="308" t="s">
        <v>568</v>
      </c>
      <c r="M116" s="322" t="s">
        <v>43</v>
      </c>
      <c r="N116" s="322"/>
      <c r="O116" s="310" t="s">
        <v>569</v>
      </c>
      <c r="P116" s="10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</row>
    <row r="117" ht="18.0" customHeight="1">
      <c r="A117" s="5" t="s">
        <v>16</v>
      </c>
      <c r="B117" s="318">
        <v>550000.0</v>
      </c>
      <c r="C117" s="312" t="s">
        <v>62</v>
      </c>
      <c r="D117" s="313">
        <v>46031.0</v>
      </c>
      <c r="E117" s="314" t="s">
        <v>400</v>
      </c>
      <c r="F117" s="319" t="s">
        <v>55</v>
      </c>
      <c r="G117" s="312" t="s">
        <v>72</v>
      </c>
      <c r="H117" s="315" t="s">
        <v>570</v>
      </c>
      <c r="I117" s="312" t="s">
        <v>22</v>
      </c>
      <c r="J117" s="312">
        <v>5.1981953E7</v>
      </c>
      <c r="K117" s="312">
        <v>3.243177071E9</v>
      </c>
      <c r="L117" s="320"/>
      <c r="M117" s="321" t="s">
        <v>24</v>
      </c>
      <c r="N117" s="317" t="s">
        <v>571</v>
      </c>
      <c r="O117" s="316" t="s">
        <v>569</v>
      </c>
      <c r="P117" s="10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</row>
    <row r="118" ht="18.0" customHeight="1">
      <c r="A118" s="5" t="s">
        <v>16</v>
      </c>
      <c r="B118" s="106"/>
      <c r="C118" s="312" t="s">
        <v>62</v>
      </c>
      <c r="D118" s="313">
        <v>45666.0</v>
      </c>
      <c r="E118" s="314" t="s">
        <v>46</v>
      </c>
      <c r="F118" s="319" t="s">
        <v>55</v>
      </c>
      <c r="G118" s="312" t="s">
        <v>97</v>
      </c>
      <c r="H118" s="315" t="s">
        <v>572</v>
      </c>
      <c r="I118" s="312" t="s">
        <v>22</v>
      </c>
      <c r="J118" s="312">
        <v>8.0161798E7</v>
      </c>
      <c r="K118" s="312">
        <v>3.103622674E9</v>
      </c>
      <c r="L118" s="320"/>
      <c r="M118" s="321" t="s">
        <v>24</v>
      </c>
      <c r="N118" s="317" t="s">
        <v>573</v>
      </c>
      <c r="O118" s="316" t="s">
        <v>377</v>
      </c>
      <c r="P118" s="10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</row>
    <row r="119" ht="18.0" customHeight="1">
      <c r="A119" s="5" t="s">
        <v>16</v>
      </c>
      <c r="B119" s="106"/>
      <c r="C119" s="312" t="s">
        <v>17</v>
      </c>
      <c r="D119" s="313">
        <v>45666.0</v>
      </c>
      <c r="E119" s="314" t="s">
        <v>70</v>
      </c>
      <c r="F119" s="319" t="s">
        <v>394</v>
      </c>
      <c r="G119" s="312" t="s">
        <v>63</v>
      </c>
      <c r="H119" s="315" t="s">
        <v>407</v>
      </c>
      <c r="I119" s="312" t="s">
        <v>22</v>
      </c>
      <c r="J119" s="312">
        <v>7.9571339E7</v>
      </c>
      <c r="K119" s="312">
        <v>3.006061976E9</v>
      </c>
      <c r="L119" s="320" t="s">
        <v>408</v>
      </c>
      <c r="M119" s="321" t="s">
        <v>24</v>
      </c>
      <c r="N119" s="317" t="s">
        <v>441</v>
      </c>
      <c r="O119" s="316" t="s">
        <v>82</v>
      </c>
      <c r="P119" s="10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</row>
    <row r="120" ht="18.0" customHeight="1">
      <c r="A120" s="323"/>
      <c r="B120" s="324"/>
      <c r="C120" s="323"/>
      <c r="D120" s="331"/>
      <c r="E120" s="323"/>
      <c r="F120" s="323"/>
      <c r="G120" s="328"/>
      <c r="H120" s="323"/>
      <c r="I120" s="323"/>
      <c r="J120" s="323"/>
      <c r="K120" s="323"/>
      <c r="L120" s="323"/>
      <c r="M120" s="332"/>
      <c r="N120" s="323"/>
      <c r="O120" s="323"/>
      <c r="P120" s="323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36"/>
      <c r="CE120" s="136"/>
      <c r="CF120" s="136"/>
      <c r="CG120" s="136"/>
      <c r="CH120" s="136"/>
      <c r="CI120" s="136"/>
      <c r="CJ120" s="136"/>
      <c r="CK120" s="136"/>
      <c r="CL120" s="136"/>
      <c r="CM120" s="136"/>
      <c r="CN120" s="136"/>
      <c r="CO120" s="136"/>
      <c r="CP120" s="136"/>
      <c r="CQ120" s="136"/>
      <c r="CR120" s="136"/>
      <c r="CS120" s="136"/>
      <c r="CT120" s="136"/>
      <c r="CU120" s="136"/>
      <c r="CV120" s="136"/>
      <c r="CW120" s="136"/>
      <c r="CX120" s="136"/>
      <c r="CY120" s="136"/>
    </row>
    <row r="121" ht="18.0" customHeight="1">
      <c r="A121" s="5" t="s">
        <v>16</v>
      </c>
      <c r="B121" s="106"/>
      <c r="C121" s="304" t="s">
        <v>285</v>
      </c>
      <c r="D121" s="305">
        <v>45667.0</v>
      </c>
      <c r="E121" s="306" t="s">
        <v>18</v>
      </c>
      <c r="F121" s="307" t="s">
        <v>382</v>
      </c>
      <c r="G121" s="304" t="s">
        <v>48</v>
      </c>
      <c r="H121" s="307" t="s">
        <v>383</v>
      </c>
      <c r="I121" s="304" t="s">
        <v>22</v>
      </c>
      <c r="J121" s="304">
        <v>5.2077724E7</v>
      </c>
      <c r="K121" s="304">
        <v>3.2262358E9</v>
      </c>
      <c r="L121" s="308"/>
      <c r="M121" s="322" t="s">
        <v>43</v>
      </c>
      <c r="N121" s="322"/>
      <c r="O121" s="310" t="s">
        <v>377</v>
      </c>
      <c r="P121" s="10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</row>
    <row r="122" ht="18.0" customHeight="1">
      <c r="A122" s="5" t="s">
        <v>16</v>
      </c>
      <c r="B122" s="106"/>
      <c r="C122" s="304" t="s">
        <v>285</v>
      </c>
      <c r="D122" s="305">
        <v>45667.0</v>
      </c>
      <c r="E122" s="306" t="s">
        <v>18</v>
      </c>
      <c r="F122" s="307" t="s">
        <v>366</v>
      </c>
      <c r="G122" s="304" t="s">
        <v>63</v>
      </c>
      <c r="H122" s="307" t="s">
        <v>383</v>
      </c>
      <c r="I122" s="304" t="s">
        <v>22</v>
      </c>
      <c r="J122" s="304">
        <v>5.2077724E7</v>
      </c>
      <c r="K122" s="304">
        <v>3.2262358E9</v>
      </c>
      <c r="L122" s="308"/>
      <c r="M122" s="322" t="s">
        <v>43</v>
      </c>
      <c r="N122" s="322"/>
      <c r="O122" s="310" t="s">
        <v>377</v>
      </c>
      <c r="P122" s="10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</row>
    <row r="123" ht="18.0" customHeight="1">
      <c r="A123" s="5" t="s">
        <v>16</v>
      </c>
      <c r="B123" s="106"/>
      <c r="C123" s="304" t="s">
        <v>285</v>
      </c>
      <c r="D123" s="305">
        <v>45667.0</v>
      </c>
      <c r="E123" s="306" t="s">
        <v>305</v>
      </c>
      <c r="F123" s="307" t="s">
        <v>475</v>
      </c>
      <c r="G123" s="304" t="s">
        <v>63</v>
      </c>
      <c r="H123" s="307" t="s">
        <v>383</v>
      </c>
      <c r="I123" s="304" t="s">
        <v>22</v>
      </c>
      <c r="J123" s="304">
        <v>5.2077724E7</v>
      </c>
      <c r="K123" s="304">
        <v>3.2262358E9</v>
      </c>
      <c r="L123" s="308"/>
      <c r="M123" s="322" t="s">
        <v>43</v>
      </c>
      <c r="N123" s="322"/>
      <c r="O123" s="310" t="s">
        <v>377</v>
      </c>
      <c r="P123" s="10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</row>
    <row r="124" ht="18.0" customHeight="1">
      <c r="A124" s="5" t="s">
        <v>16</v>
      </c>
      <c r="B124" s="106"/>
      <c r="C124" s="304" t="s">
        <v>285</v>
      </c>
      <c r="D124" s="305">
        <v>45667.0</v>
      </c>
      <c r="E124" s="306" t="s">
        <v>83</v>
      </c>
      <c r="F124" s="307" t="s">
        <v>469</v>
      </c>
      <c r="G124" s="304" t="s">
        <v>63</v>
      </c>
      <c r="H124" s="307" t="s">
        <v>470</v>
      </c>
      <c r="I124" s="304" t="s">
        <v>22</v>
      </c>
      <c r="J124" s="304">
        <v>1.024552959E9</v>
      </c>
      <c r="K124" s="304">
        <v>3.20995014E9</v>
      </c>
      <c r="L124" s="308" t="s">
        <v>563</v>
      </c>
      <c r="M124" s="322" t="s">
        <v>43</v>
      </c>
      <c r="N124" s="322"/>
      <c r="O124" s="310" t="s">
        <v>31</v>
      </c>
      <c r="P124" s="10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</row>
    <row r="125" ht="18.0" customHeight="1">
      <c r="A125" s="5" t="s">
        <v>16</v>
      </c>
      <c r="B125" s="106"/>
      <c r="C125" s="304" t="s">
        <v>285</v>
      </c>
      <c r="D125" s="305">
        <v>45667.0</v>
      </c>
      <c r="E125" s="306" t="s">
        <v>83</v>
      </c>
      <c r="F125" s="307" t="s">
        <v>475</v>
      </c>
      <c r="G125" s="304" t="s">
        <v>97</v>
      </c>
      <c r="H125" s="307" t="s">
        <v>470</v>
      </c>
      <c r="I125" s="304" t="s">
        <v>22</v>
      </c>
      <c r="J125" s="304">
        <v>1.024552959E9</v>
      </c>
      <c r="K125" s="304">
        <v>3.20995014E9</v>
      </c>
      <c r="L125" s="308"/>
      <c r="M125" s="322" t="s">
        <v>43</v>
      </c>
      <c r="N125" s="322"/>
      <c r="O125" s="310" t="s">
        <v>31</v>
      </c>
      <c r="P125" s="10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</row>
    <row r="126" ht="18.0" customHeight="1">
      <c r="A126" s="5" t="s">
        <v>16</v>
      </c>
      <c r="B126" s="318">
        <v>150000.0</v>
      </c>
      <c r="C126" s="312" t="s">
        <v>285</v>
      </c>
      <c r="D126" s="313">
        <v>45667.0</v>
      </c>
      <c r="E126" s="314" t="s">
        <v>83</v>
      </c>
      <c r="F126" s="319" t="s">
        <v>262</v>
      </c>
      <c r="G126" s="312" t="s">
        <v>20</v>
      </c>
      <c r="H126" s="315" t="s">
        <v>574</v>
      </c>
      <c r="I126" s="312" t="s">
        <v>22</v>
      </c>
      <c r="J126" s="312">
        <v>1.070953121E9</v>
      </c>
      <c r="K126" s="312">
        <v>3.132947132E9</v>
      </c>
      <c r="L126" s="320"/>
      <c r="M126" s="321" t="s">
        <v>24</v>
      </c>
      <c r="N126" s="317" t="s">
        <v>575</v>
      </c>
      <c r="O126" s="316" t="s">
        <v>44</v>
      </c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</row>
    <row r="127" ht="18.0" customHeight="1">
      <c r="A127" s="5" t="s">
        <v>16</v>
      </c>
      <c r="B127" s="318">
        <v>220000.0</v>
      </c>
      <c r="C127" s="312" t="s">
        <v>285</v>
      </c>
      <c r="D127" s="313">
        <v>45667.0</v>
      </c>
      <c r="E127" s="314" t="s">
        <v>83</v>
      </c>
      <c r="F127" s="319" t="s">
        <v>475</v>
      </c>
      <c r="G127" s="312" t="s">
        <v>56</v>
      </c>
      <c r="H127" s="315" t="s">
        <v>574</v>
      </c>
      <c r="I127" s="312" t="s">
        <v>22</v>
      </c>
      <c r="J127" s="312">
        <v>1.070953121E9</v>
      </c>
      <c r="K127" s="312">
        <v>3.132947132E9</v>
      </c>
      <c r="L127" s="320"/>
      <c r="M127" s="321" t="s">
        <v>24</v>
      </c>
      <c r="N127" s="317" t="s">
        <v>575</v>
      </c>
      <c r="O127" s="316" t="s">
        <v>44</v>
      </c>
      <c r="P127" s="10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</row>
    <row r="128" ht="18.0" customHeight="1">
      <c r="A128" s="5" t="s">
        <v>16</v>
      </c>
      <c r="B128" s="318">
        <v>340000.0</v>
      </c>
      <c r="C128" s="312" t="s">
        <v>285</v>
      </c>
      <c r="D128" s="313">
        <v>45667.0</v>
      </c>
      <c r="E128" s="314" t="s">
        <v>83</v>
      </c>
      <c r="F128" s="319" t="s">
        <v>576</v>
      </c>
      <c r="G128" s="312" t="s">
        <v>56</v>
      </c>
      <c r="H128" s="315" t="s">
        <v>574</v>
      </c>
      <c r="I128" s="312" t="s">
        <v>22</v>
      </c>
      <c r="J128" s="312">
        <v>1.070953121E9</v>
      </c>
      <c r="K128" s="312">
        <v>3.132947132E9</v>
      </c>
      <c r="L128" s="320"/>
      <c r="M128" s="321" t="s">
        <v>24</v>
      </c>
      <c r="N128" s="317" t="s">
        <v>575</v>
      </c>
      <c r="O128" s="316" t="s">
        <v>44</v>
      </c>
      <c r="P128" s="10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</row>
    <row r="129" ht="18.0" customHeight="1">
      <c r="A129" s="5" t="s">
        <v>16</v>
      </c>
      <c r="B129" s="318">
        <v>150000.0</v>
      </c>
      <c r="C129" s="312" t="s">
        <v>285</v>
      </c>
      <c r="D129" s="313">
        <v>45667.0</v>
      </c>
      <c r="E129" s="314" t="s">
        <v>208</v>
      </c>
      <c r="F129" s="319" t="s">
        <v>262</v>
      </c>
      <c r="G129" s="312" t="s">
        <v>20</v>
      </c>
      <c r="H129" s="315" t="s">
        <v>577</v>
      </c>
      <c r="I129" s="312" t="s">
        <v>22</v>
      </c>
      <c r="J129" s="312">
        <v>1.1343645E7</v>
      </c>
      <c r="K129" s="312">
        <v>3.112309495E9</v>
      </c>
      <c r="L129" s="320"/>
      <c r="M129" s="321" t="s">
        <v>24</v>
      </c>
      <c r="N129" s="317" t="s">
        <v>578</v>
      </c>
      <c r="O129" s="316" t="s">
        <v>44</v>
      </c>
      <c r="P129" s="10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</row>
    <row r="130" ht="18.0" customHeight="1">
      <c r="A130" s="5" t="s">
        <v>16</v>
      </c>
      <c r="B130" s="318">
        <v>130000.0</v>
      </c>
      <c r="C130" s="312" t="s">
        <v>285</v>
      </c>
      <c r="D130" s="313">
        <v>45667.0</v>
      </c>
      <c r="E130" s="314" t="s">
        <v>208</v>
      </c>
      <c r="F130" s="319" t="s">
        <v>579</v>
      </c>
      <c r="G130" s="312" t="s">
        <v>483</v>
      </c>
      <c r="H130" s="315" t="s">
        <v>577</v>
      </c>
      <c r="I130" s="312" t="s">
        <v>22</v>
      </c>
      <c r="J130" s="312">
        <v>1.1343645E7</v>
      </c>
      <c r="K130" s="312">
        <v>3.112309495E9</v>
      </c>
      <c r="L130" s="320"/>
      <c r="M130" s="321" t="s">
        <v>24</v>
      </c>
      <c r="N130" s="317" t="s">
        <v>578</v>
      </c>
      <c r="O130" s="316" t="s">
        <v>44</v>
      </c>
      <c r="P130" s="10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</row>
    <row r="131" ht="18.0" customHeight="1">
      <c r="A131" s="5" t="s">
        <v>16</v>
      </c>
      <c r="B131" s="318">
        <v>220000.0</v>
      </c>
      <c r="C131" s="312" t="s">
        <v>285</v>
      </c>
      <c r="D131" s="313">
        <v>45667.0</v>
      </c>
      <c r="E131" s="314" t="s">
        <v>208</v>
      </c>
      <c r="F131" s="319" t="s">
        <v>475</v>
      </c>
      <c r="G131" s="312" t="s">
        <v>56</v>
      </c>
      <c r="H131" s="315" t="s">
        <v>577</v>
      </c>
      <c r="I131" s="312" t="s">
        <v>22</v>
      </c>
      <c r="J131" s="312">
        <v>1.1343645E7</v>
      </c>
      <c r="K131" s="312">
        <v>3.112309495E9</v>
      </c>
      <c r="L131" s="320"/>
      <c r="M131" s="321" t="s">
        <v>24</v>
      </c>
      <c r="N131" s="317" t="s">
        <v>578</v>
      </c>
      <c r="O131" s="316" t="s">
        <v>44</v>
      </c>
      <c r="P131" s="10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</row>
    <row r="132" ht="18.0" customHeight="1">
      <c r="A132" s="5" t="s">
        <v>16</v>
      </c>
      <c r="B132" s="318">
        <v>380000.0</v>
      </c>
      <c r="C132" s="312" t="s">
        <v>285</v>
      </c>
      <c r="D132" s="313">
        <v>45667.0</v>
      </c>
      <c r="E132" s="314" t="s">
        <v>208</v>
      </c>
      <c r="F132" s="319" t="s">
        <v>580</v>
      </c>
      <c r="G132" s="312" t="s">
        <v>56</v>
      </c>
      <c r="H132" s="315" t="s">
        <v>577</v>
      </c>
      <c r="I132" s="312" t="s">
        <v>22</v>
      </c>
      <c r="J132" s="312">
        <v>1.1343645E7</v>
      </c>
      <c r="K132" s="312">
        <v>3.112309495E9</v>
      </c>
      <c r="L132" s="320"/>
      <c r="M132" s="321" t="s">
        <v>24</v>
      </c>
      <c r="N132" s="317" t="s">
        <v>578</v>
      </c>
      <c r="O132" s="316" t="s">
        <v>44</v>
      </c>
      <c r="P132" s="10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</row>
    <row r="133" ht="18.0" customHeight="1">
      <c r="A133" s="5" t="s">
        <v>16</v>
      </c>
      <c r="B133" s="106"/>
      <c r="C133" s="304" t="s">
        <v>285</v>
      </c>
      <c r="D133" s="305">
        <v>46032.0</v>
      </c>
      <c r="E133" s="306" t="s">
        <v>182</v>
      </c>
      <c r="F133" s="307" t="s">
        <v>475</v>
      </c>
      <c r="G133" s="304" t="s">
        <v>63</v>
      </c>
      <c r="H133" s="307" t="s">
        <v>581</v>
      </c>
      <c r="I133" s="304" t="s">
        <v>22</v>
      </c>
      <c r="J133" s="304">
        <v>7.9296397E7</v>
      </c>
      <c r="K133" s="304">
        <v>3.203781516E9</v>
      </c>
      <c r="L133" s="308"/>
      <c r="M133" s="322" t="s">
        <v>43</v>
      </c>
      <c r="N133" s="322"/>
      <c r="O133" s="310" t="s">
        <v>377</v>
      </c>
      <c r="P133" s="10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</row>
    <row r="134" ht="18.0" customHeight="1">
      <c r="A134" s="5" t="s">
        <v>16</v>
      </c>
      <c r="B134" s="106"/>
      <c r="C134" s="304" t="s">
        <v>285</v>
      </c>
      <c r="D134" s="305">
        <v>46032.0</v>
      </c>
      <c r="E134" s="306" t="s">
        <v>182</v>
      </c>
      <c r="F134" s="307" t="s">
        <v>582</v>
      </c>
      <c r="G134" s="304" t="s">
        <v>63</v>
      </c>
      <c r="H134" s="307" t="s">
        <v>581</v>
      </c>
      <c r="I134" s="304" t="s">
        <v>22</v>
      </c>
      <c r="J134" s="304">
        <v>7.9296397E7</v>
      </c>
      <c r="K134" s="304">
        <v>3.203781516E9</v>
      </c>
      <c r="L134" s="308" t="s">
        <v>583</v>
      </c>
      <c r="M134" s="322" t="s">
        <v>43</v>
      </c>
      <c r="N134" s="322"/>
      <c r="O134" s="310" t="s">
        <v>377</v>
      </c>
      <c r="P134" s="10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</row>
    <row r="135" ht="18.0" customHeight="1">
      <c r="A135" s="5" t="s">
        <v>16</v>
      </c>
      <c r="B135" s="106"/>
      <c r="C135" s="304" t="s">
        <v>285</v>
      </c>
      <c r="D135" s="305">
        <v>46032.0</v>
      </c>
      <c r="E135" s="306" t="s">
        <v>182</v>
      </c>
      <c r="F135" s="307" t="s">
        <v>262</v>
      </c>
      <c r="G135" s="304" t="s">
        <v>20</v>
      </c>
      <c r="H135" s="307" t="s">
        <v>584</v>
      </c>
      <c r="I135" s="304" t="s">
        <v>22</v>
      </c>
      <c r="J135" s="304">
        <v>2.0959058E7</v>
      </c>
      <c r="K135" s="304">
        <v>3.215985591E9</v>
      </c>
      <c r="L135" s="308" t="s">
        <v>585</v>
      </c>
      <c r="M135" s="322" t="s">
        <v>43</v>
      </c>
      <c r="N135" s="322"/>
      <c r="O135" s="310" t="s">
        <v>31</v>
      </c>
      <c r="P135" s="10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</row>
    <row r="136" ht="18.0" customHeight="1">
      <c r="A136" s="5" t="s">
        <v>16</v>
      </c>
      <c r="B136" s="106"/>
      <c r="C136" s="304" t="s">
        <v>285</v>
      </c>
      <c r="D136" s="305">
        <v>46032.0</v>
      </c>
      <c r="E136" s="306" t="s">
        <v>182</v>
      </c>
      <c r="F136" s="307" t="s">
        <v>262</v>
      </c>
      <c r="G136" s="304" t="s">
        <v>20</v>
      </c>
      <c r="H136" s="307" t="s">
        <v>586</v>
      </c>
      <c r="I136" s="304" t="s">
        <v>22</v>
      </c>
      <c r="J136" s="304">
        <v>5.28533E7</v>
      </c>
      <c r="K136" s="304">
        <v>3.112497743E9</v>
      </c>
      <c r="L136" s="308"/>
      <c r="M136" s="322" t="s">
        <v>43</v>
      </c>
      <c r="N136" s="322"/>
      <c r="O136" s="310" t="s">
        <v>82</v>
      </c>
      <c r="P136" s="10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</row>
    <row r="137" ht="18.0" customHeight="1">
      <c r="A137" s="5" t="s">
        <v>16</v>
      </c>
      <c r="B137" s="106"/>
      <c r="C137" s="304" t="s">
        <v>285</v>
      </c>
      <c r="D137" s="305">
        <v>46032.0</v>
      </c>
      <c r="E137" s="306" t="s">
        <v>182</v>
      </c>
      <c r="F137" s="307" t="s">
        <v>587</v>
      </c>
      <c r="G137" s="304" t="s">
        <v>48</v>
      </c>
      <c r="H137" s="307" t="s">
        <v>588</v>
      </c>
      <c r="I137" s="304" t="s">
        <v>515</v>
      </c>
      <c r="J137" s="304">
        <v>1.070976689E9</v>
      </c>
      <c r="K137" s="304">
        <v>3.215985591E9</v>
      </c>
      <c r="L137" s="308" t="s">
        <v>589</v>
      </c>
      <c r="M137" s="322" t="s">
        <v>43</v>
      </c>
      <c r="N137" s="322"/>
      <c r="O137" s="310" t="s">
        <v>31</v>
      </c>
      <c r="P137" s="10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</row>
    <row r="138" ht="18.0" customHeight="1">
      <c r="A138" s="5" t="s">
        <v>16</v>
      </c>
      <c r="B138" s="106"/>
      <c r="C138" s="312" t="s">
        <v>285</v>
      </c>
      <c r="D138" s="313">
        <v>46032.0</v>
      </c>
      <c r="E138" s="314" t="s">
        <v>182</v>
      </c>
      <c r="F138" s="319" t="s">
        <v>387</v>
      </c>
      <c r="G138" s="312" t="s">
        <v>48</v>
      </c>
      <c r="H138" s="315" t="s">
        <v>388</v>
      </c>
      <c r="I138" s="312" t="s">
        <v>22</v>
      </c>
      <c r="J138" s="312">
        <v>8.0006197E7</v>
      </c>
      <c r="K138" s="312">
        <v>3.232845251E9</v>
      </c>
      <c r="L138" s="320"/>
      <c r="M138" s="321" t="s">
        <v>24</v>
      </c>
      <c r="N138" s="317" t="s">
        <v>590</v>
      </c>
      <c r="O138" s="316" t="s">
        <v>31</v>
      </c>
      <c r="P138" s="10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</row>
    <row r="139" ht="18.0" customHeight="1">
      <c r="A139" s="5" t="s">
        <v>16</v>
      </c>
      <c r="B139" s="318">
        <v>150000.0</v>
      </c>
      <c r="C139" s="312" t="s">
        <v>285</v>
      </c>
      <c r="D139" s="313">
        <v>46032.0</v>
      </c>
      <c r="E139" s="314" t="s">
        <v>40</v>
      </c>
      <c r="F139" s="319" t="s">
        <v>262</v>
      </c>
      <c r="G139" s="312" t="s">
        <v>20</v>
      </c>
      <c r="H139" s="315" t="s">
        <v>591</v>
      </c>
      <c r="I139" s="312" t="s">
        <v>22</v>
      </c>
      <c r="J139" s="312">
        <v>2.0586925E7</v>
      </c>
      <c r="K139" s="312">
        <v>3.114763775E9</v>
      </c>
      <c r="L139" s="320"/>
      <c r="M139" s="321" t="s">
        <v>24</v>
      </c>
      <c r="N139" s="317" t="s">
        <v>592</v>
      </c>
      <c r="O139" s="316" t="s">
        <v>82</v>
      </c>
      <c r="P139" s="10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</row>
    <row r="140" ht="18.0" customHeight="1">
      <c r="A140" s="5" t="s">
        <v>16</v>
      </c>
      <c r="B140" s="106"/>
      <c r="C140" s="304" t="s">
        <v>285</v>
      </c>
      <c r="D140" s="305">
        <v>46032.0</v>
      </c>
      <c r="E140" s="306" t="s">
        <v>93</v>
      </c>
      <c r="F140" s="307" t="s">
        <v>593</v>
      </c>
      <c r="G140" s="304" t="s">
        <v>20</v>
      </c>
      <c r="H140" s="307" t="s">
        <v>594</v>
      </c>
      <c r="I140" s="304" t="s">
        <v>22</v>
      </c>
      <c r="J140" s="304"/>
      <c r="K140" s="304">
        <v>3.102926886E9</v>
      </c>
      <c r="L140" s="308" t="s">
        <v>595</v>
      </c>
      <c r="M140" s="308" t="s">
        <v>43</v>
      </c>
      <c r="N140" s="322"/>
      <c r="O140" s="310" t="s">
        <v>31</v>
      </c>
      <c r="P140" s="10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</row>
    <row r="141" ht="18.0" customHeight="1">
      <c r="A141" s="5" t="s">
        <v>16</v>
      </c>
      <c r="B141" s="318">
        <v>150000.0</v>
      </c>
      <c r="C141" s="312" t="s">
        <v>285</v>
      </c>
      <c r="D141" s="313">
        <v>46032.0</v>
      </c>
      <c r="E141" s="314" t="s">
        <v>296</v>
      </c>
      <c r="F141" s="319" t="s">
        <v>262</v>
      </c>
      <c r="G141" s="312" t="s">
        <v>20</v>
      </c>
      <c r="H141" s="315" t="s">
        <v>596</v>
      </c>
      <c r="I141" s="312" t="s">
        <v>22</v>
      </c>
      <c r="J141" s="312">
        <v>2.0583862E7</v>
      </c>
      <c r="K141" s="312">
        <v>3.209301358E9</v>
      </c>
      <c r="L141" s="320"/>
      <c r="M141" s="321" t="s">
        <v>24</v>
      </c>
      <c r="N141" s="317" t="s">
        <v>597</v>
      </c>
      <c r="O141" s="316" t="s">
        <v>82</v>
      </c>
      <c r="P141" s="10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</row>
    <row r="142" ht="18.0" customHeight="1">
      <c r="A142" s="5" t="s">
        <v>16</v>
      </c>
      <c r="B142" s="318">
        <v>150000.0</v>
      </c>
      <c r="C142" s="312" t="s">
        <v>285</v>
      </c>
      <c r="D142" s="313">
        <v>46032.0</v>
      </c>
      <c r="E142" s="314" t="s">
        <v>400</v>
      </c>
      <c r="F142" s="319" t="s">
        <v>262</v>
      </c>
      <c r="G142" s="312" t="s">
        <v>20</v>
      </c>
      <c r="H142" s="315" t="s">
        <v>598</v>
      </c>
      <c r="I142" s="312" t="s">
        <v>22</v>
      </c>
      <c r="J142" s="312">
        <v>1.074414907E9</v>
      </c>
      <c r="K142" s="312">
        <v>3.194518567E9</v>
      </c>
      <c r="L142" s="320"/>
      <c r="M142" s="321" t="s">
        <v>24</v>
      </c>
      <c r="N142" s="317" t="s">
        <v>599</v>
      </c>
      <c r="O142" s="316" t="s">
        <v>82</v>
      </c>
      <c r="P142" s="10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</row>
    <row r="143" ht="18.0" customHeight="1">
      <c r="A143" s="295"/>
      <c r="B143" s="296"/>
      <c r="C143" s="295"/>
      <c r="D143" s="297"/>
      <c r="E143" s="295"/>
      <c r="F143" s="298"/>
      <c r="G143" s="295"/>
      <c r="H143" s="298"/>
      <c r="I143" s="295"/>
      <c r="J143" s="295"/>
      <c r="K143" s="295"/>
      <c r="L143" s="295"/>
      <c r="M143" s="329"/>
      <c r="N143" s="295"/>
      <c r="O143" s="295"/>
      <c r="P143" s="298"/>
      <c r="Q143" s="303"/>
      <c r="R143" s="303"/>
      <c r="S143" s="303"/>
      <c r="T143" s="303"/>
      <c r="U143" s="303"/>
      <c r="V143" s="303"/>
      <c r="W143" s="303"/>
      <c r="X143" s="303"/>
      <c r="Y143" s="303"/>
      <c r="Z143" s="303"/>
      <c r="AA143" s="303"/>
      <c r="AB143" s="303"/>
      <c r="AC143" s="303"/>
      <c r="AD143" s="303"/>
      <c r="AE143" s="303"/>
      <c r="AF143" s="303"/>
      <c r="AG143" s="303"/>
      <c r="AH143" s="303"/>
      <c r="AI143" s="303"/>
      <c r="AJ143" s="303"/>
      <c r="AK143" s="303"/>
      <c r="AL143" s="303"/>
      <c r="AM143" s="303"/>
      <c r="AN143" s="303"/>
      <c r="AO143" s="303"/>
      <c r="AP143" s="303"/>
      <c r="AQ143" s="303"/>
      <c r="AR143" s="303"/>
      <c r="AS143" s="303"/>
      <c r="AT143" s="303"/>
      <c r="AU143" s="303"/>
      <c r="AV143" s="303"/>
      <c r="AW143" s="303"/>
      <c r="AX143" s="303"/>
      <c r="AY143" s="303"/>
      <c r="AZ143" s="303"/>
      <c r="BA143" s="303"/>
      <c r="BB143" s="303"/>
      <c r="BC143" s="303"/>
      <c r="BD143" s="303"/>
      <c r="BE143" s="303"/>
      <c r="BF143" s="303"/>
      <c r="BG143" s="303"/>
      <c r="BH143" s="303"/>
      <c r="BI143" s="303"/>
      <c r="BJ143" s="303"/>
      <c r="BK143" s="303"/>
      <c r="BL143" s="303"/>
      <c r="BM143" s="303"/>
      <c r="BN143" s="303"/>
      <c r="BO143" s="303"/>
      <c r="BP143" s="303"/>
      <c r="BQ143" s="303"/>
      <c r="BR143" s="303"/>
      <c r="BS143" s="303"/>
      <c r="BT143" s="303"/>
      <c r="BU143" s="303"/>
      <c r="BV143" s="303"/>
      <c r="BW143" s="303"/>
      <c r="BX143" s="303"/>
      <c r="BY143" s="303"/>
      <c r="BZ143" s="303"/>
      <c r="CA143" s="303"/>
      <c r="CB143" s="303"/>
      <c r="CC143" s="303"/>
      <c r="CD143" s="303"/>
      <c r="CE143" s="303"/>
      <c r="CF143" s="303"/>
      <c r="CG143" s="303"/>
      <c r="CH143" s="303"/>
      <c r="CI143" s="303"/>
      <c r="CJ143" s="303"/>
      <c r="CK143" s="303"/>
      <c r="CL143" s="303"/>
      <c r="CM143" s="303"/>
      <c r="CN143" s="303"/>
      <c r="CO143" s="303"/>
      <c r="CP143" s="303"/>
      <c r="CQ143" s="303"/>
      <c r="CR143" s="303"/>
      <c r="CS143" s="303"/>
      <c r="CT143" s="303"/>
      <c r="CU143" s="303"/>
      <c r="CV143" s="303"/>
      <c r="CW143" s="303"/>
      <c r="CX143" s="303"/>
      <c r="CY143" s="303"/>
    </row>
    <row r="144" ht="18.0" customHeight="1">
      <c r="A144" s="5" t="s">
        <v>16</v>
      </c>
      <c r="B144" s="106"/>
      <c r="C144" s="312" t="s">
        <v>141</v>
      </c>
      <c r="D144" s="313">
        <v>46035.0</v>
      </c>
      <c r="E144" s="314" t="s">
        <v>18</v>
      </c>
      <c r="F144" s="319" t="s">
        <v>394</v>
      </c>
      <c r="G144" s="312" t="s">
        <v>97</v>
      </c>
      <c r="H144" s="315" t="s">
        <v>421</v>
      </c>
      <c r="I144" s="312" t="s">
        <v>22</v>
      </c>
      <c r="J144" s="312">
        <v>2.3359956E7</v>
      </c>
      <c r="K144" s="312">
        <v>3.002757965E9</v>
      </c>
      <c r="L144" s="320"/>
      <c r="M144" s="321" t="s">
        <v>24</v>
      </c>
      <c r="N144" s="317" t="s">
        <v>600</v>
      </c>
      <c r="O144" s="316" t="s">
        <v>377</v>
      </c>
      <c r="P144" s="10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</row>
    <row r="145" ht="18.0" customHeight="1">
      <c r="A145" s="5" t="s">
        <v>16</v>
      </c>
      <c r="B145" s="318">
        <v>220000.0</v>
      </c>
      <c r="C145" s="312" t="s">
        <v>141</v>
      </c>
      <c r="D145" s="313">
        <v>46035.0</v>
      </c>
      <c r="E145" s="314" t="s">
        <v>305</v>
      </c>
      <c r="F145" s="319" t="s">
        <v>475</v>
      </c>
      <c r="G145" s="312" t="s">
        <v>97</v>
      </c>
      <c r="H145" s="315" t="s">
        <v>476</v>
      </c>
      <c r="I145" s="312" t="s">
        <v>22</v>
      </c>
      <c r="J145" s="312">
        <v>3.9640509E7</v>
      </c>
      <c r="K145" s="312">
        <v>3.106669201E9</v>
      </c>
      <c r="L145" s="320"/>
      <c r="M145" s="321" t="s">
        <v>24</v>
      </c>
      <c r="N145" s="317" t="s">
        <v>601</v>
      </c>
      <c r="O145" s="316" t="s">
        <v>31</v>
      </c>
      <c r="P145" s="10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</row>
    <row r="146" ht="18.0" customHeight="1">
      <c r="A146" s="5" t="s">
        <v>16</v>
      </c>
      <c r="B146" s="318">
        <v>200000.0</v>
      </c>
      <c r="C146" s="312" t="s">
        <v>141</v>
      </c>
      <c r="D146" s="313">
        <v>46035.0</v>
      </c>
      <c r="E146" s="314" t="s">
        <v>305</v>
      </c>
      <c r="F146" s="319" t="s">
        <v>478</v>
      </c>
      <c r="G146" s="312" t="s">
        <v>97</v>
      </c>
      <c r="H146" s="315" t="s">
        <v>476</v>
      </c>
      <c r="I146" s="312" t="s">
        <v>22</v>
      </c>
      <c r="J146" s="312">
        <v>3.9640509E7</v>
      </c>
      <c r="K146" s="312">
        <v>3.106669201E9</v>
      </c>
      <c r="L146" s="320" t="s">
        <v>602</v>
      </c>
      <c r="M146" s="321" t="s">
        <v>24</v>
      </c>
      <c r="N146" s="317" t="s">
        <v>601</v>
      </c>
      <c r="O146" s="316" t="s">
        <v>31</v>
      </c>
      <c r="P146" s="10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</row>
    <row r="147" ht="18.0" customHeight="1">
      <c r="A147" s="5" t="s">
        <v>16</v>
      </c>
      <c r="B147" s="106"/>
      <c r="C147" s="304" t="s">
        <v>141</v>
      </c>
      <c r="D147" s="305">
        <v>46035.0</v>
      </c>
      <c r="E147" s="306" t="s">
        <v>305</v>
      </c>
      <c r="F147" s="307" t="s">
        <v>262</v>
      </c>
      <c r="G147" s="304" t="s">
        <v>20</v>
      </c>
      <c r="H147" s="307" t="s">
        <v>603</v>
      </c>
      <c r="I147" s="304" t="s">
        <v>22</v>
      </c>
      <c r="J147" s="304">
        <v>2.4212619E7</v>
      </c>
      <c r="K147" s="304">
        <v>3.102648565E9</v>
      </c>
      <c r="L147" s="308" t="s">
        <v>604</v>
      </c>
      <c r="M147" s="308" t="s">
        <v>43</v>
      </c>
      <c r="N147" s="322"/>
      <c r="O147" s="310" t="s">
        <v>534</v>
      </c>
      <c r="P147" s="10"/>
      <c r="Q147" s="7"/>
      <c r="R147" s="7"/>
      <c r="S147" s="7"/>
      <c r="T147" s="7"/>
      <c r="U147" s="7"/>
      <c r="V147" s="7"/>
      <c r="W147" s="7">
        <v>46028.450324074074</v>
      </c>
      <c r="X147" s="7" t="s">
        <v>125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</row>
    <row r="148" ht="18.0" customHeight="1">
      <c r="A148" s="5" t="s">
        <v>16</v>
      </c>
      <c r="B148" s="106"/>
      <c r="C148" s="304" t="s">
        <v>141</v>
      </c>
      <c r="D148" s="305">
        <v>46035.0</v>
      </c>
      <c r="E148" s="306" t="s">
        <v>78</v>
      </c>
      <c r="F148" s="307" t="s">
        <v>605</v>
      </c>
      <c r="G148" s="304" t="s">
        <v>56</v>
      </c>
      <c r="H148" s="307" t="s">
        <v>606</v>
      </c>
      <c r="I148" s="304" t="s">
        <v>22</v>
      </c>
      <c r="J148" s="304">
        <v>5.2984831E7</v>
      </c>
      <c r="K148" s="304">
        <v>3.114721654E9</v>
      </c>
      <c r="L148" s="308"/>
      <c r="M148" s="308" t="s">
        <v>43</v>
      </c>
      <c r="N148" s="322"/>
      <c r="O148" s="310" t="s">
        <v>377</v>
      </c>
      <c r="P148" s="10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</row>
    <row r="149" ht="18.0" customHeight="1">
      <c r="A149" s="5" t="s">
        <v>16</v>
      </c>
      <c r="B149" s="106"/>
      <c r="C149" s="304" t="s">
        <v>141</v>
      </c>
      <c r="D149" s="305">
        <v>46035.0</v>
      </c>
      <c r="E149" s="306" t="s">
        <v>78</v>
      </c>
      <c r="F149" s="307" t="s">
        <v>366</v>
      </c>
      <c r="G149" s="304" t="s">
        <v>56</v>
      </c>
      <c r="H149" s="307" t="s">
        <v>606</v>
      </c>
      <c r="I149" s="304" t="s">
        <v>22</v>
      </c>
      <c r="J149" s="304">
        <v>5.2984831E7</v>
      </c>
      <c r="K149" s="304">
        <v>3.114721654E9</v>
      </c>
      <c r="L149" s="308"/>
      <c r="M149" s="308" t="s">
        <v>43</v>
      </c>
      <c r="N149" s="322"/>
      <c r="O149" s="310" t="s">
        <v>377</v>
      </c>
      <c r="P149" s="10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</row>
    <row r="150" ht="18.0" customHeight="1">
      <c r="A150" s="5" t="s">
        <v>16</v>
      </c>
      <c r="B150" s="106"/>
      <c r="C150" s="304" t="s">
        <v>141</v>
      </c>
      <c r="D150" s="305">
        <v>46035.0</v>
      </c>
      <c r="E150" s="306" t="s">
        <v>78</v>
      </c>
      <c r="F150" s="307" t="s">
        <v>475</v>
      </c>
      <c r="G150" s="304" t="s">
        <v>56</v>
      </c>
      <c r="H150" s="307" t="s">
        <v>606</v>
      </c>
      <c r="I150" s="304" t="s">
        <v>22</v>
      </c>
      <c r="J150" s="304">
        <v>5.2984831E7</v>
      </c>
      <c r="K150" s="304">
        <v>3.114721654E9</v>
      </c>
      <c r="L150" s="308"/>
      <c r="M150" s="308" t="s">
        <v>43</v>
      </c>
      <c r="N150" s="322"/>
      <c r="O150" s="310" t="s">
        <v>377</v>
      </c>
      <c r="P150" s="10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</row>
    <row r="151" ht="18.0" customHeight="1">
      <c r="A151" s="5" t="s">
        <v>16</v>
      </c>
      <c r="B151" s="318">
        <v>380000.0</v>
      </c>
      <c r="C151" s="312" t="s">
        <v>141</v>
      </c>
      <c r="D151" s="313">
        <v>46035.0</v>
      </c>
      <c r="E151" s="314" t="s">
        <v>83</v>
      </c>
      <c r="F151" s="319" t="s">
        <v>469</v>
      </c>
      <c r="G151" s="312" t="s">
        <v>63</v>
      </c>
      <c r="H151" s="315" t="s">
        <v>470</v>
      </c>
      <c r="I151" s="312" t="s">
        <v>22</v>
      </c>
      <c r="J151" s="312">
        <v>1.024552959E9</v>
      </c>
      <c r="K151" s="312">
        <v>3.20995014E9</v>
      </c>
      <c r="L151" s="320"/>
      <c r="M151" s="321" t="s">
        <v>24</v>
      </c>
      <c r="N151" s="317" t="s">
        <v>607</v>
      </c>
      <c r="O151" s="316" t="s">
        <v>31</v>
      </c>
      <c r="P151" s="10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</row>
    <row r="152" ht="18.0" customHeight="1">
      <c r="A152" s="5" t="s">
        <v>16</v>
      </c>
      <c r="B152" s="318">
        <v>220000.0</v>
      </c>
      <c r="C152" s="312" t="s">
        <v>141</v>
      </c>
      <c r="D152" s="313">
        <v>46035.0</v>
      </c>
      <c r="E152" s="314" t="s">
        <v>83</v>
      </c>
      <c r="F152" s="319" t="s">
        <v>475</v>
      </c>
      <c r="G152" s="312" t="s">
        <v>63</v>
      </c>
      <c r="H152" s="315" t="s">
        <v>470</v>
      </c>
      <c r="I152" s="312" t="s">
        <v>22</v>
      </c>
      <c r="J152" s="312">
        <v>1.024552959E9</v>
      </c>
      <c r="K152" s="312">
        <v>3.20995014E9</v>
      </c>
      <c r="L152" s="320"/>
      <c r="M152" s="321" t="s">
        <v>24</v>
      </c>
      <c r="N152" s="317" t="s">
        <v>607</v>
      </c>
      <c r="O152" s="316" t="s">
        <v>31</v>
      </c>
      <c r="P152" s="10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</row>
    <row r="153" ht="18.0" customHeight="1">
      <c r="A153" s="5" t="s">
        <v>16</v>
      </c>
      <c r="B153" s="318">
        <v>260000.0</v>
      </c>
      <c r="C153" s="312" t="s">
        <v>141</v>
      </c>
      <c r="D153" s="313">
        <v>46035.0</v>
      </c>
      <c r="E153" s="314" t="s">
        <v>83</v>
      </c>
      <c r="F153" s="319" t="s">
        <v>608</v>
      </c>
      <c r="G153" s="312" t="s">
        <v>20</v>
      </c>
      <c r="H153" s="315" t="s">
        <v>470</v>
      </c>
      <c r="I153" s="312" t="s">
        <v>22</v>
      </c>
      <c r="J153" s="312">
        <v>1.024552959E9</v>
      </c>
      <c r="K153" s="312">
        <v>3.20995014E9</v>
      </c>
      <c r="L153" s="320"/>
      <c r="M153" s="321" t="s">
        <v>24</v>
      </c>
      <c r="N153" s="317" t="s">
        <v>607</v>
      </c>
      <c r="O153" s="316" t="s">
        <v>31</v>
      </c>
      <c r="P153" s="10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</row>
    <row r="154" ht="18.0" customHeight="1">
      <c r="A154" s="5" t="s">
        <v>16</v>
      </c>
      <c r="B154" s="106"/>
      <c r="C154" s="312" t="s">
        <v>141</v>
      </c>
      <c r="D154" s="313">
        <v>46035.0</v>
      </c>
      <c r="E154" s="314" t="s">
        <v>78</v>
      </c>
      <c r="F154" s="319" t="s">
        <v>475</v>
      </c>
      <c r="G154" s="312" t="s">
        <v>63</v>
      </c>
      <c r="H154" s="315" t="s">
        <v>609</v>
      </c>
      <c r="I154" s="312" t="s">
        <v>610</v>
      </c>
      <c r="J154" s="312">
        <v>553940.0</v>
      </c>
      <c r="K154" s="312">
        <v>3.186010942E9</v>
      </c>
      <c r="L154" s="320"/>
      <c r="M154" s="321" t="s">
        <v>24</v>
      </c>
      <c r="N154" s="317" t="s">
        <v>611</v>
      </c>
      <c r="O154" s="316" t="s">
        <v>377</v>
      </c>
      <c r="P154" s="10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</row>
    <row r="155" ht="18.0" customHeight="1">
      <c r="A155" s="5" t="s">
        <v>16</v>
      </c>
      <c r="B155" s="106"/>
      <c r="C155" s="312" t="s">
        <v>141</v>
      </c>
      <c r="D155" s="313">
        <v>46035.0</v>
      </c>
      <c r="E155" s="314" t="s">
        <v>78</v>
      </c>
      <c r="F155" s="319" t="s">
        <v>612</v>
      </c>
      <c r="G155" s="312" t="s">
        <v>63</v>
      </c>
      <c r="H155" s="315" t="s">
        <v>609</v>
      </c>
      <c r="I155" s="312" t="s">
        <v>610</v>
      </c>
      <c r="J155" s="312">
        <v>553940.0</v>
      </c>
      <c r="K155" s="312">
        <v>3.186010942E9</v>
      </c>
      <c r="L155" s="320"/>
      <c r="M155" s="321" t="s">
        <v>24</v>
      </c>
      <c r="N155" s="317" t="s">
        <v>611</v>
      </c>
      <c r="O155" s="316" t="s">
        <v>377</v>
      </c>
      <c r="P155" s="10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</row>
    <row r="156" ht="18.0" customHeight="1">
      <c r="A156" s="5" t="s">
        <v>16</v>
      </c>
      <c r="B156" s="318">
        <v>150000.0</v>
      </c>
      <c r="C156" s="312" t="s">
        <v>141</v>
      </c>
      <c r="D156" s="313">
        <v>46035.0</v>
      </c>
      <c r="E156" s="314" t="s">
        <v>613</v>
      </c>
      <c r="F156" s="319" t="s">
        <v>27</v>
      </c>
      <c r="G156" s="312" t="s">
        <v>20</v>
      </c>
      <c r="H156" s="315" t="s">
        <v>584</v>
      </c>
      <c r="I156" s="312" t="s">
        <v>22</v>
      </c>
      <c r="J156" s="312">
        <v>2.0959058E7</v>
      </c>
      <c r="K156" s="312">
        <v>3.215985591E9</v>
      </c>
      <c r="L156" s="320"/>
      <c r="M156" s="321" t="s">
        <v>24</v>
      </c>
      <c r="N156" s="317" t="s">
        <v>614</v>
      </c>
      <c r="O156" s="316" t="s">
        <v>31</v>
      </c>
      <c r="P156" s="10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</row>
    <row r="157" ht="18.0" customHeight="1">
      <c r="A157" s="5" t="s">
        <v>16</v>
      </c>
      <c r="B157" s="318">
        <v>322000.0</v>
      </c>
      <c r="C157" s="312" t="s">
        <v>141</v>
      </c>
      <c r="D157" s="313">
        <v>46035.0</v>
      </c>
      <c r="E157" s="314" t="s">
        <v>613</v>
      </c>
      <c r="F157" s="319" t="s">
        <v>615</v>
      </c>
      <c r="G157" s="312" t="s">
        <v>483</v>
      </c>
      <c r="H157" s="315" t="s">
        <v>584</v>
      </c>
      <c r="I157" s="312" t="s">
        <v>22</v>
      </c>
      <c r="J157" s="312">
        <v>2.0959058E7</v>
      </c>
      <c r="K157" s="312">
        <v>3.215985591E9</v>
      </c>
      <c r="L157" s="320"/>
      <c r="M157" s="321" t="s">
        <v>24</v>
      </c>
      <c r="N157" s="317" t="s">
        <v>614</v>
      </c>
      <c r="O157" s="316" t="s">
        <v>31</v>
      </c>
      <c r="P157" s="10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</row>
    <row r="158" ht="18.0" customHeight="1">
      <c r="A158" s="5" t="s">
        <v>16</v>
      </c>
      <c r="B158" s="318">
        <v>220000.0</v>
      </c>
      <c r="C158" s="312" t="s">
        <v>141</v>
      </c>
      <c r="D158" s="313">
        <v>46035.0</v>
      </c>
      <c r="E158" s="314" t="s">
        <v>613</v>
      </c>
      <c r="F158" s="319" t="s">
        <v>475</v>
      </c>
      <c r="G158" s="312" t="s">
        <v>56</v>
      </c>
      <c r="H158" s="315" t="s">
        <v>584</v>
      </c>
      <c r="I158" s="312" t="s">
        <v>22</v>
      </c>
      <c r="J158" s="312">
        <v>2.0959058E7</v>
      </c>
      <c r="K158" s="312">
        <v>3.215985591E9</v>
      </c>
      <c r="L158" s="320"/>
      <c r="M158" s="321" t="s">
        <v>24</v>
      </c>
      <c r="N158" s="317" t="s">
        <v>614</v>
      </c>
      <c r="O158" s="316" t="s">
        <v>31</v>
      </c>
      <c r="P158" s="10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</row>
    <row r="159" ht="18.0" customHeight="1">
      <c r="A159" s="5" t="s">
        <v>16</v>
      </c>
      <c r="B159" s="318">
        <v>310000.0</v>
      </c>
      <c r="C159" s="312" t="s">
        <v>141</v>
      </c>
      <c r="D159" s="313">
        <v>46035.0</v>
      </c>
      <c r="E159" s="314" t="s">
        <v>613</v>
      </c>
      <c r="F159" s="319" t="s">
        <v>616</v>
      </c>
      <c r="G159" s="312" t="s">
        <v>56</v>
      </c>
      <c r="H159" s="315" t="s">
        <v>584</v>
      </c>
      <c r="I159" s="312" t="s">
        <v>22</v>
      </c>
      <c r="J159" s="312">
        <v>2.0959058E7</v>
      </c>
      <c r="K159" s="312">
        <v>3.215985591E9</v>
      </c>
      <c r="L159" s="320" t="s">
        <v>617</v>
      </c>
      <c r="M159" s="321" t="s">
        <v>24</v>
      </c>
      <c r="N159" s="317" t="s">
        <v>614</v>
      </c>
      <c r="O159" s="316" t="s">
        <v>31</v>
      </c>
      <c r="P159" s="10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</row>
    <row r="160" ht="18.0" customHeight="1">
      <c r="A160" s="5" t="s">
        <v>16</v>
      </c>
      <c r="B160" s="106"/>
      <c r="C160" s="312" t="s">
        <v>141</v>
      </c>
      <c r="D160" s="313">
        <v>46035.0</v>
      </c>
      <c r="E160" s="314" t="s">
        <v>613</v>
      </c>
      <c r="F160" s="319" t="s">
        <v>618</v>
      </c>
      <c r="G160" s="312" t="s">
        <v>48</v>
      </c>
      <c r="H160" s="315" t="s">
        <v>588</v>
      </c>
      <c r="I160" s="312" t="s">
        <v>515</v>
      </c>
      <c r="J160" s="312">
        <v>1.070976689E9</v>
      </c>
      <c r="K160" s="312">
        <v>3.215985591E9</v>
      </c>
      <c r="L160" s="320"/>
      <c r="M160" s="321" t="s">
        <v>24</v>
      </c>
      <c r="N160" s="317" t="s">
        <v>619</v>
      </c>
      <c r="O160" s="316" t="s">
        <v>31</v>
      </c>
      <c r="P160" s="10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</row>
    <row r="161" ht="18.0" customHeight="1">
      <c r="A161" s="5" t="s">
        <v>16</v>
      </c>
      <c r="B161" s="106"/>
      <c r="C161" s="312" t="s">
        <v>141</v>
      </c>
      <c r="D161" s="313">
        <v>46035.0</v>
      </c>
      <c r="E161" s="314" t="s">
        <v>182</v>
      </c>
      <c r="F161" s="319" t="s">
        <v>55</v>
      </c>
      <c r="G161" s="312" t="s">
        <v>97</v>
      </c>
      <c r="H161" s="315" t="s">
        <v>433</v>
      </c>
      <c r="I161" s="312" t="s">
        <v>22</v>
      </c>
      <c r="J161" s="312">
        <v>2990838.0</v>
      </c>
      <c r="K161" s="312">
        <v>3.2048440019E10</v>
      </c>
      <c r="L161" s="320"/>
      <c r="M161" s="321" t="s">
        <v>24</v>
      </c>
      <c r="N161" s="317" t="s">
        <v>620</v>
      </c>
      <c r="O161" s="316" t="s">
        <v>82</v>
      </c>
      <c r="P161" s="10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</row>
    <row r="162" ht="18.0" customHeight="1">
      <c r="A162" s="5" t="s">
        <v>16</v>
      </c>
      <c r="B162" s="106"/>
      <c r="C162" s="304" t="s">
        <v>141</v>
      </c>
      <c r="D162" s="305">
        <v>46035.0</v>
      </c>
      <c r="E162" s="306" t="s">
        <v>221</v>
      </c>
      <c r="F162" s="307" t="s">
        <v>621</v>
      </c>
      <c r="G162" s="304" t="s">
        <v>48</v>
      </c>
      <c r="H162" s="307" t="s">
        <v>436</v>
      </c>
      <c r="I162" s="304" t="s">
        <v>22</v>
      </c>
      <c r="J162" s="304">
        <v>3187681.0</v>
      </c>
      <c r="K162" s="304">
        <v>3.114825625E9</v>
      </c>
      <c r="L162" s="308" t="s">
        <v>622</v>
      </c>
      <c r="M162" s="308" t="s">
        <v>43</v>
      </c>
      <c r="N162" s="322"/>
      <c r="O162" s="310" t="s">
        <v>31</v>
      </c>
      <c r="P162" s="10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</row>
    <row r="163" ht="18.0" customHeight="1">
      <c r="A163" s="5" t="s">
        <v>16</v>
      </c>
      <c r="B163" s="106"/>
      <c r="C163" s="304" t="s">
        <v>141</v>
      </c>
      <c r="D163" s="305">
        <v>46035.0</v>
      </c>
      <c r="E163" s="306" t="s">
        <v>182</v>
      </c>
      <c r="F163" s="307" t="s">
        <v>55</v>
      </c>
      <c r="G163" s="304" t="s">
        <v>63</v>
      </c>
      <c r="H163" s="307" t="s">
        <v>450</v>
      </c>
      <c r="I163" s="304" t="s">
        <v>22</v>
      </c>
      <c r="J163" s="304">
        <v>5.2255073E7</v>
      </c>
      <c r="K163" s="304">
        <v>3.118810901E9</v>
      </c>
      <c r="L163" s="308" t="s">
        <v>623</v>
      </c>
      <c r="M163" s="308" t="s">
        <v>43</v>
      </c>
      <c r="N163" s="322"/>
      <c r="O163" s="310" t="s">
        <v>51</v>
      </c>
      <c r="P163" s="10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</row>
    <row r="164" ht="18.0" customHeight="1">
      <c r="A164" s="5" t="s">
        <v>16</v>
      </c>
      <c r="B164" s="318">
        <v>100000.0</v>
      </c>
      <c r="C164" s="312" t="s">
        <v>141</v>
      </c>
      <c r="D164" s="313">
        <v>46035.0</v>
      </c>
      <c r="E164" s="314" t="s">
        <v>93</v>
      </c>
      <c r="F164" s="319" t="s">
        <v>471</v>
      </c>
      <c r="G164" s="312" t="s">
        <v>20</v>
      </c>
      <c r="H164" s="315" t="s">
        <v>624</v>
      </c>
      <c r="I164" s="312" t="s">
        <v>22</v>
      </c>
      <c r="J164" s="312">
        <v>2.6494232E7</v>
      </c>
      <c r="K164" s="312">
        <v>3.10281824E9</v>
      </c>
      <c r="L164" s="320"/>
      <c r="M164" s="321" t="s">
        <v>24</v>
      </c>
      <c r="N164" s="317" t="s">
        <v>625</v>
      </c>
      <c r="O164" s="316" t="s">
        <v>377</v>
      </c>
      <c r="P164" s="10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</row>
    <row r="165" ht="18.0" customHeight="1">
      <c r="A165" s="5" t="s">
        <v>16</v>
      </c>
      <c r="B165" s="318">
        <v>76000.0</v>
      </c>
      <c r="C165" s="312" t="s">
        <v>141</v>
      </c>
      <c r="D165" s="313">
        <v>46035.0</v>
      </c>
      <c r="E165" s="314" t="s">
        <v>93</v>
      </c>
      <c r="F165" s="319" t="s">
        <v>626</v>
      </c>
      <c r="G165" s="312" t="s">
        <v>483</v>
      </c>
      <c r="H165" s="315" t="s">
        <v>624</v>
      </c>
      <c r="I165" s="312" t="s">
        <v>22</v>
      </c>
      <c r="J165" s="312">
        <v>2.6494232E7</v>
      </c>
      <c r="K165" s="312">
        <v>3.10281824E9</v>
      </c>
      <c r="L165" s="320"/>
      <c r="M165" s="321" t="s">
        <v>24</v>
      </c>
      <c r="N165" s="317" t="s">
        <v>625</v>
      </c>
      <c r="O165" s="316" t="s">
        <v>377</v>
      </c>
      <c r="P165" s="10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</row>
    <row r="166" ht="18.0" customHeight="1">
      <c r="A166" s="5" t="s">
        <v>16</v>
      </c>
      <c r="B166" s="318">
        <v>300000.0</v>
      </c>
      <c r="C166" s="312" t="s">
        <v>141</v>
      </c>
      <c r="D166" s="313">
        <v>46035.0</v>
      </c>
      <c r="E166" s="314" t="s">
        <v>93</v>
      </c>
      <c r="F166" s="319" t="s">
        <v>627</v>
      </c>
      <c r="G166" s="312" t="s">
        <v>628</v>
      </c>
      <c r="H166" s="315" t="s">
        <v>624</v>
      </c>
      <c r="I166" s="312" t="s">
        <v>22</v>
      </c>
      <c r="J166" s="312">
        <v>2.6494232E7</v>
      </c>
      <c r="K166" s="312">
        <v>3.10281824E9</v>
      </c>
      <c r="L166" s="320" t="s">
        <v>629</v>
      </c>
      <c r="M166" s="321" t="s">
        <v>24</v>
      </c>
      <c r="N166" s="317" t="s">
        <v>625</v>
      </c>
      <c r="O166" s="316" t="s">
        <v>377</v>
      </c>
      <c r="P166" s="10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</row>
    <row r="167" ht="18.0" customHeight="1">
      <c r="A167" s="5" t="s">
        <v>16</v>
      </c>
      <c r="B167" s="106"/>
      <c r="C167" s="312" t="s">
        <v>141</v>
      </c>
      <c r="D167" s="313">
        <v>46035.0</v>
      </c>
      <c r="E167" s="314" t="s">
        <v>46</v>
      </c>
      <c r="F167" s="319" t="s">
        <v>55</v>
      </c>
      <c r="G167" s="312" t="s">
        <v>56</v>
      </c>
      <c r="H167" s="315" t="s">
        <v>431</v>
      </c>
      <c r="I167" s="312" t="s">
        <v>22</v>
      </c>
      <c r="J167" s="312">
        <v>8.010026E7</v>
      </c>
      <c r="K167" s="312">
        <v>3.013816242E9</v>
      </c>
      <c r="L167" s="320"/>
      <c r="M167" s="321" t="s">
        <v>24</v>
      </c>
      <c r="N167" s="317" t="s">
        <v>630</v>
      </c>
      <c r="O167" s="316" t="s">
        <v>31</v>
      </c>
      <c r="P167" s="10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</row>
    <row r="168" ht="18.0" customHeight="1">
      <c r="A168" s="5" t="s">
        <v>16</v>
      </c>
      <c r="B168" s="106"/>
      <c r="C168" s="312" t="s">
        <v>141</v>
      </c>
      <c r="D168" s="313">
        <v>46035.0</v>
      </c>
      <c r="E168" s="314" t="s">
        <v>46</v>
      </c>
      <c r="F168" s="319" t="s">
        <v>394</v>
      </c>
      <c r="G168" s="312" t="s">
        <v>48</v>
      </c>
      <c r="H168" s="315" t="s">
        <v>407</v>
      </c>
      <c r="I168" s="312" t="s">
        <v>22</v>
      </c>
      <c r="J168" s="312">
        <v>7.9571339E7</v>
      </c>
      <c r="K168" s="312">
        <v>3.006061976E9</v>
      </c>
      <c r="L168" s="320" t="s">
        <v>408</v>
      </c>
      <c r="M168" s="321" t="s">
        <v>24</v>
      </c>
      <c r="N168" s="317" t="s">
        <v>441</v>
      </c>
      <c r="O168" s="316" t="s">
        <v>82</v>
      </c>
      <c r="P168" s="10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</row>
    <row r="169" ht="18.0" customHeight="1">
      <c r="A169" s="5" t="s">
        <v>16</v>
      </c>
      <c r="B169" s="318">
        <v>100000.0</v>
      </c>
      <c r="C169" s="312" t="s">
        <v>141</v>
      </c>
      <c r="D169" s="313">
        <v>46035.0</v>
      </c>
      <c r="E169" s="314" t="s">
        <v>130</v>
      </c>
      <c r="F169" s="319" t="s">
        <v>55</v>
      </c>
      <c r="G169" s="312" t="s">
        <v>63</v>
      </c>
      <c r="H169" s="315" t="s">
        <v>438</v>
      </c>
      <c r="I169" s="312" t="s">
        <v>22</v>
      </c>
      <c r="J169" s="312">
        <v>1.1377135E7</v>
      </c>
      <c r="K169" s="312">
        <v>3.245949137E9</v>
      </c>
      <c r="L169" s="320"/>
      <c r="M169" s="321" t="s">
        <v>24</v>
      </c>
      <c r="N169" s="317" t="s">
        <v>631</v>
      </c>
      <c r="O169" s="316" t="s">
        <v>377</v>
      </c>
      <c r="P169" s="10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</row>
    <row r="170" ht="17.25" customHeight="1">
      <c r="A170" s="295"/>
      <c r="B170" s="296"/>
      <c r="C170" s="295"/>
      <c r="D170" s="297"/>
      <c r="E170" s="295"/>
      <c r="F170" s="298"/>
      <c r="G170" s="295"/>
      <c r="H170" s="298"/>
      <c r="I170" s="295"/>
      <c r="J170" s="295"/>
      <c r="K170" s="295"/>
      <c r="L170" s="295"/>
      <c r="M170" s="329"/>
      <c r="N170" s="295"/>
      <c r="O170" s="295"/>
      <c r="P170" s="298"/>
      <c r="Q170" s="303"/>
      <c r="R170" s="303"/>
      <c r="S170" s="303"/>
      <c r="T170" s="303"/>
      <c r="U170" s="303"/>
      <c r="V170" s="303"/>
      <c r="W170" s="303"/>
      <c r="X170" s="303"/>
      <c r="Y170" s="303"/>
      <c r="Z170" s="303"/>
      <c r="AA170" s="303"/>
      <c r="AB170" s="303"/>
      <c r="AC170" s="303"/>
      <c r="AD170" s="303"/>
      <c r="AE170" s="303"/>
      <c r="AF170" s="303"/>
      <c r="AG170" s="303"/>
      <c r="AH170" s="303"/>
      <c r="AI170" s="303"/>
      <c r="AJ170" s="303"/>
      <c r="AK170" s="303"/>
      <c r="AL170" s="303"/>
      <c r="AM170" s="303"/>
      <c r="AN170" s="303"/>
      <c r="AO170" s="303"/>
      <c r="AP170" s="303"/>
      <c r="AQ170" s="303"/>
      <c r="AR170" s="303"/>
      <c r="AS170" s="303"/>
      <c r="AT170" s="303"/>
      <c r="AU170" s="303"/>
      <c r="AV170" s="303"/>
      <c r="AW170" s="303"/>
      <c r="AX170" s="303"/>
      <c r="AY170" s="303"/>
      <c r="AZ170" s="303"/>
      <c r="BA170" s="303"/>
      <c r="BB170" s="303"/>
      <c r="BC170" s="303"/>
      <c r="BD170" s="303"/>
      <c r="BE170" s="303"/>
      <c r="BF170" s="303"/>
      <c r="BG170" s="303"/>
      <c r="BH170" s="303"/>
      <c r="BI170" s="303"/>
      <c r="BJ170" s="303"/>
      <c r="BK170" s="303"/>
      <c r="BL170" s="303"/>
      <c r="BM170" s="303"/>
      <c r="BN170" s="303"/>
      <c r="BO170" s="303"/>
      <c r="BP170" s="303"/>
      <c r="BQ170" s="303"/>
      <c r="BR170" s="303"/>
      <c r="BS170" s="303"/>
      <c r="BT170" s="303"/>
      <c r="BU170" s="303"/>
      <c r="BV170" s="303"/>
      <c r="BW170" s="303"/>
      <c r="BX170" s="303"/>
      <c r="BY170" s="303"/>
      <c r="BZ170" s="303"/>
      <c r="CA170" s="303"/>
      <c r="CB170" s="303"/>
      <c r="CC170" s="303"/>
      <c r="CD170" s="303"/>
      <c r="CE170" s="303"/>
      <c r="CF170" s="303"/>
      <c r="CG170" s="303"/>
      <c r="CH170" s="303"/>
      <c r="CI170" s="303"/>
      <c r="CJ170" s="303"/>
      <c r="CK170" s="303"/>
      <c r="CL170" s="303"/>
      <c r="CM170" s="303"/>
      <c r="CN170" s="303"/>
      <c r="CO170" s="303"/>
      <c r="CP170" s="303"/>
      <c r="CQ170" s="303"/>
      <c r="CR170" s="303"/>
      <c r="CS170" s="303"/>
      <c r="CT170" s="303"/>
      <c r="CU170" s="303"/>
      <c r="CV170" s="303"/>
      <c r="CW170" s="303"/>
      <c r="CX170" s="303"/>
      <c r="CY170" s="303"/>
    </row>
    <row r="171" ht="18.0" customHeight="1">
      <c r="A171" s="5" t="s">
        <v>16</v>
      </c>
      <c r="B171" s="106"/>
      <c r="C171" s="312" t="s">
        <v>203</v>
      </c>
      <c r="D171" s="313">
        <v>46036.0</v>
      </c>
      <c r="E171" s="314" t="s">
        <v>18</v>
      </c>
      <c r="F171" s="319" t="s">
        <v>55</v>
      </c>
      <c r="G171" s="312" t="s">
        <v>97</v>
      </c>
      <c r="H171" s="315" t="s">
        <v>458</v>
      </c>
      <c r="I171" s="312" t="s">
        <v>22</v>
      </c>
      <c r="J171" s="312">
        <v>7.9057655E7</v>
      </c>
      <c r="K171" s="312">
        <v>3.178596972E9</v>
      </c>
      <c r="L171" s="320"/>
      <c r="M171" s="321" t="s">
        <v>24</v>
      </c>
      <c r="N171" s="317" t="s">
        <v>632</v>
      </c>
      <c r="O171" s="316" t="s">
        <v>220</v>
      </c>
      <c r="P171" s="10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</row>
    <row r="172" ht="18.0" customHeight="1">
      <c r="A172" s="5" t="s">
        <v>16</v>
      </c>
      <c r="B172" s="106"/>
      <c r="C172" s="312" t="s">
        <v>203</v>
      </c>
      <c r="D172" s="313">
        <v>46036.0</v>
      </c>
      <c r="E172" s="314" t="s">
        <v>18</v>
      </c>
      <c r="F172" s="319" t="s">
        <v>538</v>
      </c>
      <c r="G172" s="312" t="s">
        <v>63</v>
      </c>
      <c r="H172" s="315" t="s">
        <v>539</v>
      </c>
      <c r="I172" s="312" t="s">
        <v>22</v>
      </c>
      <c r="J172" s="312">
        <v>7.9044739E7</v>
      </c>
      <c r="K172" s="312">
        <v>3.143350029E9</v>
      </c>
      <c r="L172" s="320"/>
      <c r="M172" s="321" t="s">
        <v>24</v>
      </c>
      <c r="N172" s="317" t="s">
        <v>633</v>
      </c>
      <c r="O172" s="316" t="s">
        <v>113</v>
      </c>
      <c r="P172" s="10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</row>
    <row r="173" ht="18.0" customHeight="1">
      <c r="A173" s="5" t="s">
        <v>16</v>
      </c>
      <c r="B173" s="106"/>
      <c r="C173" s="304" t="s">
        <v>203</v>
      </c>
      <c r="D173" s="305">
        <v>46036.0</v>
      </c>
      <c r="E173" s="306" t="s">
        <v>18</v>
      </c>
      <c r="F173" s="307" t="s">
        <v>490</v>
      </c>
      <c r="G173" s="304" t="s">
        <v>63</v>
      </c>
      <c r="H173" s="307" t="s">
        <v>491</v>
      </c>
      <c r="I173" s="304" t="s">
        <v>22</v>
      </c>
      <c r="J173" s="304">
        <v>3.9666937E7</v>
      </c>
      <c r="K173" s="304">
        <v>3.192871588E9</v>
      </c>
      <c r="L173" s="308" t="s">
        <v>634</v>
      </c>
      <c r="M173" s="308" t="s">
        <v>43</v>
      </c>
      <c r="N173" s="322"/>
      <c r="O173" s="310" t="s">
        <v>31</v>
      </c>
      <c r="P173" s="10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</row>
    <row r="174" ht="18.0" customHeight="1">
      <c r="A174" s="5" t="s">
        <v>16</v>
      </c>
      <c r="B174" s="106"/>
      <c r="C174" s="304" t="s">
        <v>203</v>
      </c>
      <c r="D174" s="305">
        <v>46036.0</v>
      </c>
      <c r="E174" s="306" t="s">
        <v>18</v>
      </c>
      <c r="F174" s="307" t="s">
        <v>475</v>
      </c>
      <c r="G174" s="304" t="s">
        <v>97</v>
      </c>
      <c r="H174" s="307" t="s">
        <v>491</v>
      </c>
      <c r="I174" s="304" t="s">
        <v>22</v>
      </c>
      <c r="J174" s="304">
        <v>3.9666937E7</v>
      </c>
      <c r="K174" s="304">
        <v>3.192871588E9</v>
      </c>
      <c r="L174" s="308"/>
      <c r="M174" s="308" t="s">
        <v>43</v>
      </c>
      <c r="N174" s="322"/>
      <c r="O174" s="310" t="s">
        <v>31</v>
      </c>
      <c r="P174" s="10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</row>
    <row r="175" ht="18.0" customHeight="1">
      <c r="A175" s="5" t="s">
        <v>16</v>
      </c>
      <c r="B175" s="106"/>
      <c r="C175" s="304" t="s">
        <v>203</v>
      </c>
      <c r="D175" s="305">
        <v>46036.0</v>
      </c>
      <c r="E175" s="306" t="s">
        <v>18</v>
      </c>
      <c r="F175" s="307" t="s">
        <v>479</v>
      </c>
      <c r="G175" s="304" t="s">
        <v>63</v>
      </c>
      <c r="H175" s="307" t="s">
        <v>480</v>
      </c>
      <c r="I175" s="304" t="s">
        <v>22</v>
      </c>
      <c r="J175" s="304">
        <v>2.0944441E7</v>
      </c>
      <c r="K175" s="304">
        <v>3.192871588E9</v>
      </c>
      <c r="L175" s="308" t="s">
        <v>635</v>
      </c>
      <c r="M175" s="308" t="s">
        <v>43</v>
      </c>
      <c r="N175" s="322"/>
      <c r="O175" s="310" t="s">
        <v>31</v>
      </c>
      <c r="P175" s="10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</row>
    <row r="176" ht="18.0" customHeight="1">
      <c r="A176" s="5" t="s">
        <v>16</v>
      </c>
      <c r="B176" s="106"/>
      <c r="C176" s="304" t="s">
        <v>203</v>
      </c>
      <c r="D176" s="305">
        <v>46036.0</v>
      </c>
      <c r="E176" s="306" t="s">
        <v>18</v>
      </c>
      <c r="F176" s="307" t="s">
        <v>475</v>
      </c>
      <c r="G176" s="304" t="s">
        <v>63</v>
      </c>
      <c r="H176" s="307" t="s">
        <v>480</v>
      </c>
      <c r="I176" s="304" t="s">
        <v>22</v>
      </c>
      <c r="J176" s="304">
        <v>2.0944441E7</v>
      </c>
      <c r="K176" s="304">
        <v>3.192871588E9</v>
      </c>
      <c r="L176" s="308"/>
      <c r="M176" s="308" t="s">
        <v>43</v>
      </c>
      <c r="N176" s="322"/>
      <c r="O176" s="310" t="s">
        <v>31</v>
      </c>
      <c r="P176" s="10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</row>
    <row r="177" ht="18.0" customHeight="1">
      <c r="A177" s="5" t="s">
        <v>16</v>
      </c>
      <c r="B177" s="106"/>
      <c r="C177" s="304" t="s">
        <v>203</v>
      </c>
      <c r="D177" s="305">
        <v>46036.0</v>
      </c>
      <c r="E177" s="306" t="s">
        <v>83</v>
      </c>
      <c r="F177" s="307" t="s">
        <v>475</v>
      </c>
      <c r="G177" s="304" t="s">
        <v>215</v>
      </c>
      <c r="H177" s="307" t="s">
        <v>487</v>
      </c>
      <c r="I177" s="304" t="s">
        <v>22</v>
      </c>
      <c r="J177" s="304">
        <v>8.0267997E7</v>
      </c>
      <c r="K177" s="304">
        <v>3.103124464E9</v>
      </c>
      <c r="L177" s="308">
        <v>440.0</v>
      </c>
      <c r="M177" s="308" t="s">
        <v>43</v>
      </c>
      <c r="N177" s="322"/>
      <c r="O177" s="310" t="s">
        <v>31</v>
      </c>
      <c r="P177" s="10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</row>
    <row r="178" ht="18.0" customHeight="1">
      <c r="A178" s="5" t="s">
        <v>16</v>
      </c>
      <c r="B178" s="106"/>
      <c r="C178" s="304" t="s">
        <v>203</v>
      </c>
      <c r="D178" s="305">
        <v>46036.0</v>
      </c>
      <c r="E178" s="306" t="s">
        <v>83</v>
      </c>
      <c r="F178" s="307" t="s">
        <v>636</v>
      </c>
      <c r="G178" s="304" t="s">
        <v>215</v>
      </c>
      <c r="H178" s="307" t="s">
        <v>487</v>
      </c>
      <c r="I178" s="304" t="s">
        <v>22</v>
      </c>
      <c r="J178" s="304">
        <v>8.0267997E7</v>
      </c>
      <c r="K178" s="304">
        <v>3.103124464E9</v>
      </c>
      <c r="L178" s="308">
        <v>550.0</v>
      </c>
      <c r="M178" s="308" t="s">
        <v>43</v>
      </c>
      <c r="N178" s="322"/>
      <c r="O178" s="310" t="s">
        <v>31</v>
      </c>
      <c r="P178" s="10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</row>
    <row r="179" ht="18.0" customHeight="1">
      <c r="A179" s="5" t="s">
        <v>16</v>
      </c>
      <c r="B179" s="106"/>
      <c r="C179" s="312" t="s">
        <v>203</v>
      </c>
      <c r="D179" s="313">
        <v>46036.0</v>
      </c>
      <c r="E179" s="314" t="s">
        <v>83</v>
      </c>
      <c r="F179" s="319" t="s">
        <v>394</v>
      </c>
      <c r="G179" s="312" t="s">
        <v>97</v>
      </c>
      <c r="H179" s="315" t="s">
        <v>466</v>
      </c>
      <c r="I179" s="312" t="s">
        <v>22</v>
      </c>
      <c r="J179" s="312">
        <v>7.9266659E7</v>
      </c>
      <c r="K179" s="312">
        <v>3.108635966E9</v>
      </c>
      <c r="L179" s="320"/>
      <c r="M179" s="321" t="s">
        <v>24</v>
      </c>
      <c r="N179" s="317" t="s">
        <v>637</v>
      </c>
      <c r="O179" s="316" t="s">
        <v>44</v>
      </c>
      <c r="P179" s="10"/>
      <c r="Q179" s="7"/>
      <c r="R179" s="7"/>
      <c r="S179" s="7"/>
      <c r="T179" s="7"/>
      <c r="U179" s="7"/>
      <c r="V179" s="7"/>
      <c r="W179" s="7">
        <v>46029.2634837963</v>
      </c>
      <c r="X179" s="7" t="s">
        <v>45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</row>
    <row r="180" ht="18.0" customHeight="1">
      <c r="A180" s="5" t="s">
        <v>16</v>
      </c>
      <c r="B180" s="318">
        <v>150000.0</v>
      </c>
      <c r="C180" s="312" t="s">
        <v>203</v>
      </c>
      <c r="D180" s="313">
        <v>46036.0</v>
      </c>
      <c r="E180" s="314" t="s">
        <v>182</v>
      </c>
      <c r="F180" s="319" t="s">
        <v>27</v>
      </c>
      <c r="G180" s="312" t="s">
        <v>20</v>
      </c>
      <c r="H180" s="315" t="s">
        <v>638</v>
      </c>
      <c r="I180" s="312" t="s">
        <v>22</v>
      </c>
      <c r="J180" s="312">
        <v>9.3152188E7</v>
      </c>
      <c r="K180" s="312">
        <v>3.132564594E9</v>
      </c>
      <c r="L180" s="320"/>
      <c r="M180" s="321" t="s">
        <v>24</v>
      </c>
      <c r="N180" s="317" t="s">
        <v>639</v>
      </c>
      <c r="O180" s="316" t="s">
        <v>640</v>
      </c>
      <c r="P180" s="10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</row>
    <row r="181" ht="18.0" customHeight="1">
      <c r="A181" s="5" t="s">
        <v>16</v>
      </c>
      <c r="B181" s="318">
        <v>192000.0</v>
      </c>
      <c r="C181" s="312" t="s">
        <v>203</v>
      </c>
      <c r="D181" s="313">
        <v>46036.0</v>
      </c>
      <c r="E181" s="314" t="s">
        <v>182</v>
      </c>
      <c r="F181" s="319" t="s">
        <v>641</v>
      </c>
      <c r="G181" s="312" t="s">
        <v>483</v>
      </c>
      <c r="H181" s="315" t="s">
        <v>638</v>
      </c>
      <c r="I181" s="312" t="s">
        <v>22</v>
      </c>
      <c r="J181" s="312">
        <v>9.3152188E7</v>
      </c>
      <c r="K181" s="312">
        <v>3.132564594E9</v>
      </c>
      <c r="L181" s="320"/>
      <c r="M181" s="321" t="s">
        <v>24</v>
      </c>
      <c r="N181" s="317" t="s">
        <v>639</v>
      </c>
      <c r="O181" s="316" t="s">
        <v>640</v>
      </c>
      <c r="P181" s="10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</row>
    <row r="182" ht="18.0" customHeight="1">
      <c r="A182" s="5" t="s">
        <v>16</v>
      </c>
      <c r="B182" s="318">
        <v>220000.0</v>
      </c>
      <c r="C182" s="312" t="s">
        <v>203</v>
      </c>
      <c r="D182" s="313">
        <v>46036.0</v>
      </c>
      <c r="E182" s="314" t="s">
        <v>182</v>
      </c>
      <c r="F182" s="319" t="s">
        <v>475</v>
      </c>
      <c r="G182" s="312" t="s">
        <v>628</v>
      </c>
      <c r="H182" s="315" t="s">
        <v>638</v>
      </c>
      <c r="I182" s="312" t="s">
        <v>22</v>
      </c>
      <c r="J182" s="312">
        <v>9.3152188E7</v>
      </c>
      <c r="K182" s="312">
        <v>3.132564594E9</v>
      </c>
      <c r="L182" s="320"/>
      <c r="M182" s="321" t="s">
        <v>24</v>
      </c>
      <c r="N182" s="317" t="s">
        <v>639</v>
      </c>
      <c r="O182" s="316" t="s">
        <v>640</v>
      </c>
      <c r="P182" s="10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</row>
    <row r="183" ht="18.0" customHeight="1">
      <c r="A183" s="5" t="s">
        <v>16</v>
      </c>
      <c r="B183" s="318">
        <v>380000.0</v>
      </c>
      <c r="C183" s="312" t="s">
        <v>203</v>
      </c>
      <c r="D183" s="313">
        <v>46036.0</v>
      </c>
      <c r="E183" s="314" t="s">
        <v>182</v>
      </c>
      <c r="F183" s="319" t="s">
        <v>642</v>
      </c>
      <c r="G183" s="312" t="s">
        <v>628</v>
      </c>
      <c r="H183" s="315" t="s">
        <v>638</v>
      </c>
      <c r="I183" s="312" t="s">
        <v>22</v>
      </c>
      <c r="J183" s="312">
        <v>9.3152188E7</v>
      </c>
      <c r="K183" s="312">
        <v>3.132564594E9</v>
      </c>
      <c r="L183" s="320"/>
      <c r="M183" s="321" t="s">
        <v>24</v>
      </c>
      <c r="N183" s="317" t="s">
        <v>639</v>
      </c>
      <c r="O183" s="316" t="s">
        <v>640</v>
      </c>
      <c r="P183" s="10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</row>
    <row r="184" ht="18.0" customHeight="1">
      <c r="A184" s="5" t="s">
        <v>16</v>
      </c>
      <c r="B184" s="106"/>
      <c r="C184" s="312" t="s">
        <v>203</v>
      </c>
      <c r="D184" s="313">
        <v>46036.0</v>
      </c>
      <c r="E184" s="314" t="s">
        <v>182</v>
      </c>
      <c r="F184" s="319" t="s">
        <v>55</v>
      </c>
      <c r="G184" s="312" t="s">
        <v>63</v>
      </c>
      <c r="H184" s="315" t="s">
        <v>450</v>
      </c>
      <c r="I184" s="312" t="s">
        <v>22</v>
      </c>
      <c r="J184" s="312">
        <v>5.2255073E7</v>
      </c>
      <c r="K184" s="312">
        <v>3.118810901E9</v>
      </c>
      <c r="L184" s="320"/>
      <c r="M184" s="321" t="s">
        <v>24</v>
      </c>
      <c r="N184" s="317" t="s">
        <v>643</v>
      </c>
      <c r="O184" s="316" t="s">
        <v>51</v>
      </c>
      <c r="P184" s="10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</row>
    <row r="185" ht="18.0" customHeight="1">
      <c r="A185" s="5" t="s">
        <v>16</v>
      </c>
      <c r="B185" s="318">
        <v>100000.0</v>
      </c>
      <c r="C185" s="312" t="s">
        <v>203</v>
      </c>
      <c r="D185" s="313">
        <v>46036.0</v>
      </c>
      <c r="E185" s="314" t="s">
        <v>221</v>
      </c>
      <c r="F185" s="319" t="s">
        <v>621</v>
      </c>
      <c r="G185" s="312" t="s">
        <v>48</v>
      </c>
      <c r="H185" s="315" t="s">
        <v>644</v>
      </c>
      <c r="I185" s="312" t="s">
        <v>22</v>
      </c>
      <c r="J185" s="312">
        <v>1.013654785E9</v>
      </c>
      <c r="K185" s="312">
        <v>3.114916115E9</v>
      </c>
      <c r="L185" s="320"/>
      <c r="M185" s="321" t="s">
        <v>24</v>
      </c>
      <c r="N185" s="317" t="s">
        <v>645</v>
      </c>
      <c r="O185" s="316" t="s">
        <v>377</v>
      </c>
      <c r="P185" s="10"/>
      <c r="Q185" s="7"/>
      <c r="R185" s="7"/>
      <c r="S185" s="7"/>
      <c r="T185" s="7"/>
      <c r="U185" s="7"/>
      <c r="V185" s="7"/>
      <c r="W185" s="7">
        <v>46035.688935185186</v>
      </c>
      <c r="X185" s="7" t="s">
        <v>45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</row>
    <row r="186" ht="18.0" customHeight="1">
      <c r="A186" s="5" t="s">
        <v>16</v>
      </c>
      <c r="B186" s="318">
        <v>60000.0</v>
      </c>
      <c r="C186" s="312" t="s">
        <v>203</v>
      </c>
      <c r="D186" s="313">
        <v>46036.0</v>
      </c>
      <c r="E186" s="314" t="s">
        <v>221</v>
      </c>
      <c r="F186" s="319" t="s">
        <v>646</v>
      </c>
      <c r="G186" s="312" t="s">
        <v>483</v>
      </c>
      <c r="H186" s="315" t="s">
        <v>644</v>
      </c>
      <c r="I186" s="312" t="s">
        <v>22</v>
      </c>
      <c r="J186" s="312">
        <v>1.013654785E9</v>
      </c>
      <c r="K186" s="312">
        <v>3.114916115E9</v>
      </c>
      <c r="L186" s="320"/>
      <c r="M186" s="321" t="s">
        <v>24</v>
      </c>
      <c r="N186" s="317" t="s">
        <v>645</v>
      </c>
      <c r="O186" s="316" t="s">
        <v>377</v>
      </c>
      <c r="P186" s="10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</row>
    <row r="187" ht="18.0" customHeight="1">
      <c r="A187" s="5" t="s">
        <v>16</v>
      </c>
      <c r="B187" s="318">
        <v>60000.0</v>
      </c>
      <c r="C187" s="312" t="s">
        <v>203</v>
      </c>
      <c r="D187" s="313">
        <v>46036.0</v>
      </c>
      <c r="E187" s="314" t="s">
        <v>221</v>
      </c>
      <c r="F187" s="319" t="s">
        <v>366</v>
      </c>
      <c r="G187" s="312" t="s">
        <v>628</v>
      </c>
      <c r="H187" s="315" t="s">
        <v>644</v>
      </c>
      <c r="I187" s="312" t="s">
        <v>22</v>
      </c>
      <c r="J187" s="312">
        <v>1.013654785E9</v>
      </c>
      <c r="K187" s="312">
        <v>3.114916115E9</v>
      </c>
      <c r="L187" s="320"/>
      <c r="M187" s="321" t="s">
        <v>24</v>
      </c>
      <c r="N187" s="317" t="s">
        <v>645</v>
      </c>
      <c r="O187" s="316" t="s">
        <v>377</v>
      </c>
      <c r="P187" s="10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</row>
    <row r="188" ht="18.0" customHeight="1">
      <c r="A188" s="5" t="s">
        <v>16</v>
      </c>
      <c r="B188" s="318">
        <v>340000.0</v>
      </c>
      <c r="C188" s="312" t="s">
        <v>203</v>
      </c>
      <c r="D188" s="313">
        <v>46036.0</v>
      </c>
      <c r="E188" s="314" t="s">
        <v>221</v>
      </c>
      <c r="F188" s="319" t="s">
        <v>647</v>
      </c>
      <c r="G188" s="312" t="s">
        <v>628</v>
      </c>
      <c r="H188" s="315" t="s">
        <v>644</v>
      </c>
      <c r="I188" s="312" t="s">
        <v>22</v>
      </c>
      <c r="J188" s="312">
        <v>1.013654785E9</v>
      </c>
      <c r="K188" s="312">
        <v>3.114916115E9</v>
      </c>
      <c r="L188" s="320"/>
      <c r="M188" s="321" t="s">
        <v>24</v>
      </c>
      <c r="N188" s="317" t="s">
        <v>645</v>
      </c>
      <c r="O188" s="316" t="s">
        <v>377</v>
      </c>
      <c r="P188" s="10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</row>
    <row r="189" ht="18.0" customHeight="1">
      <c r="A189" s="5" t="s">
        <v>16</v>
      </c>
      <c r="B189" s="106"/>
      <c r="C189" s="312" t="s">
        <v>203</v>
      </c>
      <c r="D189" s="313">
        <v>46036.0</v>
      </c>
      <c r="E189" s="314" t="s">
        <v>648</v>
      </c>
      <c r="F189" s="319" t="s">
        <v>475</v>
      </c>
      <c r="G189" s="312" t="s">
        <v>97</v>
      </c>
      <c r="H189" s="315" t="s">
        <v>532</v>
      </c>
      <c r="I189" s="312" t="s">
        <v>22</v>
      </c>
      <c r="J189" s="312">
        <v>4.0781167E7</v>
      </c>
      <c r="K189" s="312">
        <v>3.103787343E9</v>
      </c>
      <c r="L189" s="320"/>
      <c r="M189" s="321" t="s">
        <v>24</v>
      </c>
      <c r="N189" s="317" t="s">
        <v>649</v>
      </c>
      <c r="O189" s="316" t="s">
        <v>534</v>
      </c>
      <c r="P189" s="10"/>
      <c r="Q189" s="7"/>
      <c r="R189" s="7"/>
      <c r="S189" s="7"/>
      <c r="T189" s="7"/>
      <c r="U189" s="7"/>
      <c r="V189" s="7"/>
      <c r="W189" s="7">
        <v>46028.39471064815</v>
      </c>
      <c r="X189" s="7" t="s">
        <v>125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</row>
    <row r="190" ht="18.0" customHeight="1">
      <c r="A190" s="5" t="s">
        <v>16</v>
      </c>
      <c r="B190" s="318">
        <v>300000.0</v>
      </c>
      <c r="C190" s="312" t="s">
        <v>203</v>
      </c>
      <c r="D190" s="313">
        <v>46036.0</v>
      </c>
      <c r="E190" s="314" t="s">
        <v>648</v>
      </c>
      <c r="F190" s="319" t="s">
        <v>650</v>
      </c>
      <c r="G190" s="312" t="s">
        <v>97</v>
      </c>
      <c r="H190" s="315" t="s">
        <v>532</v>
      </c>
      <c r="I190" s="312" t="s">
        <v>22</v>
      </c>
      <c r="J190" s="312">
        <v>4.0781167E7</v>
      </c>
      <c r="K190" s="312">
        <v>3.103787343E9</v>
      </c>
      <c r="L190" s="320" t="s">
        <v>651</v>
      </c>
      <c r="M190" s="321" t="s">
        <v>24</v>
      </c>
      <c r="N190" s="317" t="s">
        <v>649</v>
      </c>
      <c r="O190" s="316" t="s">
        <v>534</v>
      </c>
      <c r="P190" s="10"/>
      <c r="Q190" s="7"/>
      <c r="R190" s="7"/>
      <c r="S190" s="7"/>
      <c r="T190" s="7"/>
      <c r="U190" s="7"/>
      <c r="V190" s="7"/>
      <c r="W190" s="7">
        <v>46028.39471064815</v>
      </c>
      <c r="X190" s="7" t="s">
        <v>125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</row>
    <row r="191" ht="18.0" customHeight="1">
      <c r="A191" s="5" t="s">
        <v>16</v>
      </c>
      <c r="B191" s="318">
        <v>150000.0</v>
      </c>
      <c r="C191" s="312" t="s">
        <v>652</v>
      </c>
      <c r="D191" s="313">
        <v>46036.0</v>
      </c>
      <c r="E191" s="314" t="s">
        <v>397</v>
      </c>
      <c r="F191" s="319" t="s">
        <v>27</v>
      </c>
      <c r="G191" s="312" t="s">
        <v>20</v>
      </c>
      <c r="H191" s="315" t="s">
        <v>653</v>
      </c>
      <c r="I191" s="312" t="s">
        <v>22</v>
      </c>
      <c r="J191" s="312">
        <v>5109350.0</v>
      </c>
      <c r="K191" s="312">
        <v>3.213255204E9</v>
      </c>
      <c r="L191" s="320"/>
      <c r="M191" s="321" t="s">
        <v>24</v>
      </c>
      <c r="N191" s="317" t="s">
        <v>654</v>
      </c>
      <c r="O191" s="316" t="s">
        <v>44</v>
      </c>
      <c r="P191" s="10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</row>
    <row r="192" ht="18.0" customHeight="1">
      <c r="A192" s="5" t="s">
        <v>16</v>
      </c>
      <c r="B192" s="318">
        <v>380000.0</v>
      </c>
      <c r="C192" s="312" t="s">
        <v>652</v>
      </c>
      <c r="D192" s="313">
        <v>46036.0</v>
      </c>
      <c r="E192" s="314" t="s">
        <v>397</v>
      </c>
      <c r="F192" s="319" t="s">
        <v>655</v>
      </c>
      <c r="G192" s="312" t="s">
        <v>628</v>
      </c>
      <c r="H192" s="315" t="s">
        <v>653</v>
      </c>
      <c r="I192" s="312" t="s">
        <v>22</v>
      </c>
      <c r="J192" s="312">
        <v>5109350.0</v>
      </c>
      <c r="K192" s="312">
        <v>3.213255204E9</v>
      </c>
      <c r="L192" s="320"/>
      <c r="M192" s="321" t="s">
        <v>24</v>
      </c>
      <c r="N192" s="317" t="s">
        <v>654</v>
      </c>
      <c r="O192" s="316" t="s">
        <v>44</v>
      </c>
      <c r="P192" s="10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</row>
    <row r="193" ht="18.0" customHeight="1">
      <c r="A193" s="5" t="s">
        <v>16</v>
      </c>
      <c r="B193" s="106"/>
      <c r="C193" s="312" t="s">
        <v>652</v>
      </c>
      <c r="D193" s="313">
        <v>46036.0</v>
      </c>
      <c r="E193" s="314" t="s">
        <v>400</v>
      </c>
      <c r="F193" s="319" t="s">
        <v>378</v>
      </c>
      <c r="G193" s="312" t="s">
        <v>97</v>
      </c>
      <c r="H193" s="315" t="s">
        <v>401</v>
      </c>
      <c r="I193" s="312" t="s">
        <v>22</v>
      </c>
      <c r="J193" s="312">
        <v>8.002361E7</v>
      </c>
      <c r="K193" s="312">
        <v>3.138031959E9</v>
      </c>
      <c r="L193" s="320"/>
      <c r="M193" s="321" t="s">
        <v>24</v>
      </c>
      <c r="N193" s="317" t="s">
        <v>656</v>
      </c>
      <c r="O193" s="316" t="s">
        <v>82</v>
      </c>
      <c r="P193" s="10"/>
      <c r="Q193" s="7"/>
      <c r="R193" s="7"/>
      <c r="S193" s="7"/>
      <c r="T193" s="7"/>
      <c r="U193" s="7"/>
      <c r="V193" s="7"/>
      <c r="W193" s="7">
        <v>46028.28628472222</v>
      </c>
      <c r="X193" s="7" t="s">
        <v>45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</row>
    <row r="194" ht="18.0" customHeight="1">
      <c r="A194" s="5" t="s">
        <v>16</v>
      </c>
      <c r="B194" s="106"/>
      <c r="C194" s="304" t="s">
        <v>203</v>
      </c>
      <c r="D194" s="305">
        <v>46036.0</v>
      </c>
      <c r="E194" s="306" t="s">
        <v>46</v>
      </c>
      <c r="F194" s="307" t="s">
        <v>55</v>
      </c>
      <c r="G194" s="304" t="s">
        <v>48</v>
      </c>
      <c r="H194" s="307" t="s">
        <v>657</v>
      </c>
      <c r="I194" s="304" t="s">
        <v>22</v>
      </c>
      <c r="J194" s="304">
        <v>7.9452046E7</v>
      </c>
      <c r="K194" s="304">
        <v>3.002834435E9</v>
      </c>
      <c r="L194" s="308"/>
      <c r="M194" s="308" t="s">
        <v>43</v>
      </c>
      <c r="N194" s="322"/>
      <c r="O194" s="310" t="s">
        <v>377</v>
      </c>
      <c r="P194" s="10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</row>
    <row r="195" ht="18.0" customHeight="1">
      <c r="A195" s="295"/>
      <c r="B195" s="296"/>
      <c r="C195" s="295"/>
      <c r="D195" s="297"/>
      <c r="E195" s="295"/>
      <c r="F195" s="298"/>
      <c r="G195" s="295"/>
      <c r="H195" s="298"/>
      <c r="I195" s="295"/>
      <c r="J195" s="295"/>
      <c r="K195" s="295"/>
      <c r="L195" s="295"/>
      <c r="M195" s="329"/>
      <c r="N195" s="295"/>
      <c r="O195" s="295"/>
      <c r="P195" s="298"/>
      <c r="Q195" s="303"/>
      <c r="R195" s="303"/>
      <c r="S195" s="303"/>
      <c r="T195" s="303"/>
      <c r="U195" s="303"/>
      <c r="V195" s="303"/>
      <c r="W195" s="303"/>
      <c r="X195" s="303"/>
      <c r="Y195" s="303"/>
      <c r="Z195" s="303"/>
      <c r="AA195" s="303"/>
      <c r="AB195" s="303"/>
      <c r="AC195" s="303"/>
      <c r="AD195" s="303"/>
      <c r="AE195" s="303"/>
      <c r="AF195" s="303"/>
      <c r="AG195" s="303"/>
      <c r="AH195" s="303"/>
      <c r="AI195" s="303"/>
      <c r="AJ195" s="303"/>
      <c r="AK195" s="303"/>
      <c r="AL195" s="303"/>
      <c r="AM195" s="303"/>
      <c r="AN195" s="303"/>
      <c r="AO195" s="303"/>
      <c r="AP195" s="303"/>
      <c r="AQ195" s="303"/>
      <c r="AR195" s="303"/>
      <c r="AS195" s="303"/>
      <c r="AT195" s="303"/>
      <c r="AU195" s="303"/>
      <c r="AV195" s="303"/>
      <c r="AW195" s="303"/>
      <c r="AX195" s="303"/>
      <c r="AY195" s="303"/>
      <c r="AZ195" s="303"/>
      <c r="BA195" s="303"/>
      <c r="BB195" s="303"/>
      <c r="BC195" s="303"/>
      <c r="BD195" s="303"/>
      <c r="BE195" s="303"/>
      <c r="BF195" s="303"/>
      <c r="BG195" s="303"/>
      <c r="BH195" s="303"/>
      <c r="BI195" s="303"/>
      <c r="BJ195" s="303"/>
      <c r="BK195" s="303"/>
      <c r="BL195" s="303"/>
      <c r="BM195" s="303"/>
      <c r="BN195" s="303"/>
      <c r="BO195" s="303"/>
      <c r="BP195" s="303"/>
      <c r="BQ195" s="303"/>
      <c r="BR195" s="303"/>
      <c r="BS195" s="303"/>
      <c r="BT195" s="303"/>
      <c r="BU195" s="303"/>
      <c r="BV195" s="303"/>
      <c r="BW195" s="303"/>
      <c r="BX195" s="303"/>
      <c r="BY195" s="303"/>
      <c r="BZ195" s="303"/>
      <c r="CA195" s="303"/>
      <c r="CB195" s="303"/>
      <c r="CC195" s="303"/>
      <c r="CD195" s="303"/>
      <c r="CE195" s="303"/>
      <c r="CF195" s="303"/>
      <c r="CG195" s="303"/>
      <c r="CH195" s="303"/>
      <c r="CI195" s="303"/>
      <c r="CJ195" s="303"/>
      <c r="CK195" s="303"/>
      <c r="CL195" s="303"/>
      <c r="CM195" s="303"/>
      <c r="CN195" s="303"/>
      <c r="CO195" s="303"/>
      <c r="CP195" s="303"/>
      <c r="CQ195" s="303"/>
      <c r="CR195" s="303"/>
      <c r="CS195" s="303"/>
      <c r="CT195" s="303"/>
      <c r="CU195" s="303"/>
      <c r="CV195" s="303"/>
      <c r="CW195" s="303"/>
      <c r="CX195" s="303"/>
      <c r="CY195" s="303"/>
    </row>
    <row r="196" ht="18.0" customHeight="1">
      <c r="A196" s="5" t="s">
        <v>16</v>
      </c>
      <c r="B196" s="106"/>
      <c r="C196" s="304" t="s">
        <v>207</v>
      </c>
      <c r="D196" s="305">
        <v>46037.0</v>
      </c>
      <c r="E196" s="306" t="s">
        <v>18</v>
      </c>
      <c r="F196" s="307" t="s">
        <v>378</v>
      </c>
      <c r="G196" s="304" t="s">
        <v>63</v>
      </c>
      <c r="H196" s="307" t="s">
        <v>398</v>
      </c>
      <c r="I196" s="304" t="s">
        <v>22</v>
      </c>
      <c r="J196" s="304">
        <v>5.2172287E7</v>
      </c>
      <c r="K196" s="304">
        <v>3.002285725E9</v>
      </c>
      <c r="L196" s="308" t="s">
        <v>658</v>
      </c>
      <c r="M196" s="308" t="s">
        <v>43</v>
      </c>
      <c r="N196" s="322"/>
      <c r="O196" s="310" t="s">
        <v>44</v>
      </c>
      <c r="P196" s="10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</row>
    <row r="197" ht="18.0" customHeight="1">
      <c r="A197" s="5" t="s">
        <v>16</v>
      </c>
      <c r="B197" s="106"/>
      <c r="C197" s="312" t="s">
        <v>207</v>
      </c>
      <c r="D197" s="313">
        <v>46037.0</v>
      </c>
      <c r="E197" s="314" t="s">
        <v>83</v>
      </c>
      <c r="F197" s="319" t="s">
        <v>55</v>
      </c>
      <c r="G197" s="312" t="s">
        <v>63</v>
      </c>
      <c r="H197" s="315" t="s">
        <v>509</v>
      </c>
      <c r="I197" s="312" t="s">
        <v>22</v>
      </c>
      <c r="J197" s="312">
        <v>2.0472332E7</v>
      </c>
      <c r="K197" s="312">
        <v>3.133629981E9</v>
      </c>
      <c r="L197" s="320"/>
      <c r="M197" s="321" t="s">
        <v>24</v>
      </c>
      <c r="N197" s="317" t="s">
        <v>659</v>
      </c>
      <c r="O197" s="316" t="s">
        <v>377</v>
      </c>
      <c r="P197" s="10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</row>
    <row r="198" ht="18.0" customHeight="1">
      <c r="A198" s="5" t="s">
        <v>16</v>
      </c>
      <c r="B198" s="318">
        <v>440000.0</v>
      </c>
      <c r="C198" s="312" t="s">
        <v>207</v>
      </c>
      <c r="D198" s="313">
        <v>46037.0</v>
      </c>
      <c r="E198" s="314" t="s">
        <v>83</v>
      </c>
      <c r="F198" s="319" t="s">
        <v>475</v>
      </c>
      <c r="G198" s="312" t="s">
        <v>215</v>
      </c>
      <c r="H198" s="315" t="s">
        <v>509</v>
      </c>
      <c r="I198" s="312" t="s">
        <v>22</v>
      </c>
      <c r="J198" s="312">
        <v>2.0472332E7</v>
      </c>
      <c r="K198" s="312">
        <v>3.133629981E9</v>
      </c>
      <c r="L198" s="320"/>
      <c r="M198" s="321" t="s">
        <v>24</v>
      </c>
      <c r="N198" s="317" t="s">
        <v>659</v>
      </c>
      <c r="O198" s="316" t="s">
        <v>377</v>
      </c>
      <c r="P198" s="10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</row>
    <row r="199" ht="18.0" customHeight="1">
      <c r="A199" s="5" t="s">
        <v>16</v>
      </c>
      <c r="B199" s="318">
        <v>680000.0</v>
      </c>
      <c r="C199" s="312" t="s">
        <v>207</v>
      </c>
      <c r="D199" s="313">
        <v>46037.0</v>
      </c>
      <c r="E199" s="314" t="s">
        <v>83</v>
      </c>
      <c r="F199" s="319" t="s">
        <v>660</v>
      </c>
      <c r="G199" s="312" t="s">
        <v>215</v>
      </c>
      <c r="H199" s="315" t="s">
        <v>509</v>
      </c>
      <c r="I199" s="312" t="s">
        <v>22</v>
      </c>
      <c r="J199" s="312">
        <v>2.0472332E7</v>
      </c>
      <c r="K199" s="312">
        <v>3.133629981E9</v>
      </c>
      <c r="L199" s="320"/>
      <c r="M199" s="321" t="s">
        <v>24</v>
      </c>
      <c r="N199" s="317" t="s">
        <v>659</v>
      </c>
      <c r="O199" s="316" t="s">
        <v>377</v>
      </c>
      <c r="P199" s="10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</row>
    <row r="200" ht="18.0" customHeight="1">
      <c r="A200" s="5" t="s">
        <v>16</v>
      </c>
      <c r="B200" s="106"/>
      <c r="C200" s="312" t="s">
        <v>207</v>
      </c>
      <c r="D200" s="313">
        <v>46037.0</v>
      </c>
      <c r="E200" s="314" t="s">
        <v>208</v>
      </c>
      <c r="F200" s="319" t="s">
        <v>500</v>
      </c>
      <c r="G200" s="312" t="s">
        <v>63</v>
      </c>
      <c r="H200" s="315" t="s">
        <v>501</v>
      </c>
      <c r="I200" s="312" t="s">
        <v>22</v>
      </c>
      <c r="J200" s="312">
        <v>5.1840213E7</v>
      </c>
      <c r="K200" s="312">
        <v>3.105704508E9</v>
      </c>
      <c r="L200" s="320"/>
      <c r="M200" s="321" t="s">
        <v>24</v>
      </c>
      <c r="N200" s="317" t="s">
        <v>661</v>
      </c>
      <c r="O200" s="316" t="s">
        <v>31</v>
      </c>
      <c r="P200" s="10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</row>
    <row r="201" ht="18.0" customHeight="1">
      <c r="A201" s="5" t="s">
        <v>16</v>
      </c>
      <c r="B201" s="106"/>
      <c r="C201" s="312" t="s">
        <v>207</v>
      </c>
      <c r="D201" s="313">
        <v>46037.0</v>
      </c>
      <c r="E201" s="314" t="s">
        <v>208</v>
      </c>
      <c r="F201" s="319" t="s">
        <v>475</v>
      </c>
      <c r="G201" s="312" t="s">
        <v>63</v>
      </c>
      <c r="H201" s="315" t="s">
        <v>501</v>
      </c>
      <c r="I201" s="312" t="s">
        <v>22</v>
      </c>
      <c r="J201" s="312">
        <v>5.1840213E7</v>
      </c>
      <c r="K201" s="312">
        <v>3.105704508E9</v>
      </c>
      <c r="L201" s="320"/>
      <c r="M201" s="321" t="s">
        <v>24</v>
      </c>
      <c r="N201" s="317" t="s">
        <v>661</v>
      </c>
      <c r="O201" s="316" t="s">
        <v>31</v>
      </c>
      <c r="P201" s="10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</row>
    <row r="202" ht="18.0" customHeight="1">
      <c r="A202" s="5" t="s">
        <v>16</v>
      </c>
      <c r="B202" s="106"/>
      <c r="C202" s="304" t="s">
        <v>207</v>
      </c>
      <c r="D202" s="305">
        <v>46037.0</v>
      </c>
      <c r="E202" s="306" t="s">
        <v>182</v>
      </c>
      <c r="F202" s="307" t="s">
        <v>262</v>
      </c>
      <c r="G202" s="304" t="s">
        <v>20</v>
      </c>
      <c r="H202" s="307" t="s">
        <v>662</v>
      </c>
      <c r="I202" s="304" t="s">
        <v>22</v>
      </c>
      <c r="J202" s="304">
        <v>1.082889671E9</v>
      </c>
      <c r="K202" s="304">
        <v>3.105704508E9</v>
      </c>
      <c r="L202" s="308"/>
      <c r="M202" s="308" t="s">
        <v>43</v>
      </c>
      <c r="N202" s="322"/>
      <c r="O202" s="310" t="s">
        <v>663</v>
      </c>
      <c r="P202" s="10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</row>
    <row r="203" ht="18.0" customHeight="1">
      <c r="A203" s="5" t="s">
        <v>16</v>
      </c>
      <c r="B203" s="106"/>
      <c r="C203" s="312" t="s">
        <v>207</v>
      </c>
      <c r="D203" s="313">
        <v>46037.0</v>
      </c>
      <c r="E203" s="314" t="s">
        <v>664</v>
      </c>
      <c r="F203" s="319" t="s">
        <v>378</v>
      </c>
      <c r="G203" s="312" t="s">
        <v>48</v>
      </c>
      <c r="H203" s="315" t="s">
        <v>665</v>
      </c>
      <c r="I203" s="312" t="s">
        <v>22</v>
      </c>
      <c r="J203" s="312">
        <v>6.696007E7</v>
      </c>
      <c r="K203" s="312">
        <v>3.043163959E9</v>
      </c>
      <c r="L203" s="320"/>
      <c r="M203" s="321" t="s">
        <v>24</v>
      </c>
      <c r="N203" s="317" t="s">
        <v>666</v>
      </c>
      <c r="O203" s="316" t="s">
        <v>31</v>
      </c>
      <c r="P203" s="10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</row>
    <row r="204" ht="18.0" customHeight="1">
      <c r="A204" s="295"/>
      <c r="B204" s="296"/>
      <c r="C204" s="295"/>
      <c r="D204" s="297"/>
      <c r="E204" s="295"/>
      <c r="F204" s="298"/>
      <c r="G204" s="295"/>
      <c r="H204" s="298"/>
      <c r="I204" s="295"/>
      <c r="J204" s="295"/>
      <c r="K204" s="295"/>
      <c r="L204" s="295"/>
      <c r="M204" s="329"/>
      <c r="N204" s="295"/>
      <c r="O204" s="295"/>
      <c r="P204" s="298"/>
      <c r="Q204" s="303"/>
      <c r="R204" s="303"/>
      <c r="S204" s="303"/>
      <c r="T204" s="303"/>
      <c r="U204" s="303"/>
      <c r="V204" s="303"/>
      <c r="W204" s="303"/>
      <c r="X204" s="303"/>
      <c r="Y204" s="303"/>
      <c r="Z204" s="303"/>
      <c r="AA204" s="303"/>
      <c r="AB204" s="303"/>
      <c r="AC204" s="303"/>
      <c r="AD204" s="303"/>
      <c r="AE204" s="303"/>
      <c r="AF204" s="303"/>
      <c r="AG204" s="303"/>
      <c r="AH204" s="303"/>
      <c r="AI204" s="303"/>
      <c r="AJ204" s="303"/>
      <c r="AK204" s="303"/>
      <c r="AL204" s="303"/>
      <c r="AM204" s="303"/>
      <c r="AN204" s="303"/>
      <c r="AO204" s="303"/>
      <c r="AP204" s="303"/>
      <c r="AQ204" s="303"/>
      <c r="AR204" s="303"/>
      <c r="AS204" s="303"/>
      <c r="AT204" s="303"/>
      <c r="AU204" s="303"/>
      <c r="AV204" s="303"/>
      <c r="AW204" s="303"/>
      <c r="AX204" s="303"/>
      <c r="AY204" s="303"/>
      <c r="AZ204" s="303"/>
      <c r="BA204" s="303"/>
      <c r="BB204" s="303"/>
      <c r="BC204" s="303"/>
      <c r="BD204" s="303"/>
      <c r="BE204" s="303"/>
      <c r="BF204" s="303"/>
      <c r="BG204" s="303"/>
      <c r="BH204" s="303"/>
      <c r="BI204" s="303"/>
      <c r="BJ204" s="303"/>
      <c r="BK204" s="303"/>
      <c r="BL204" s="303"/>
      <c r="BM204" s="303"/>
      <c r="BN204" s="303"/>
      <c r="BO204" s="303"/>
      <c r="BP204" s="303"/>
      <c r="BQ204" s="303"/>
      <c r="BR204" s="303"/>
      <c r="BS204" s="303"/>
      <c r="BT204" s="303"/>
      <c r="BU204" s="303"/>
      <c r="BV204" s="303"/>
      <c r="BW204" s="303"/>
      <c r="BX204" s="303"/>
      <c r="BY204" s="303"/>
      <c r="BZ204" s="303"/>
      <c r="CA204" s="303"/>
      <c r="CB204" s="303"/>
      <c r="CC204" s="303"/>
      <c r="CD204" s="303"/>
      <c r="CE204" s="303"/>
      <c r="CF204" s="303"/>
      <c r="CG204" s="303"/>
      <c r="CH204" s="303"/>
      <c r="CI204" s="303"/>
      <c r="CJ204" s="303"/>
      <c r="CK204" s="303"/>
      <c r="CL204" s="303"/>
      <c r="CM204" s="303"/>
      <c r="CN204" s="303"/>
      <c r="CO204" s="303"/>
      <c r="CP204" s="303"/>
      <c r="CQ204" s="303"/>
      <c r="CR204" s="303"/>
      <c r="CS204" s="303"/>
      <c r="CT204" s="303"/>
      <c r="CU204" s="303"/>
      <c r="CV204" s="303"/>
      <c r="CW204" s="303"/>
      <c r="CX204" s="303"/>
      <c r="CY204" s="303"/>
    </row>
    <row r="205" ht="18.0" customHeight="1">
      <c r="A205" s="5" t="s">
        <v>16</v>
      </c>
      <c r="B205" s="311"/>
      <c r="C205" s="312" t="s">
        <v>62</v>
      </c>
      <c r="D205" s="313">
        <v>46038.0</v>
      </c>
      <c r="E205" s="314">
        <v>0.3333333333333333</v>
      </c>
      <c r="F205" s="315" t="s">
        <v>55</v>
      </c>
      <c r="G205" s="312" t="s">
        <v>63</v>
      </c>
      <c r="H205" s="315" t="s">
        <v>403</v>
      </c>
      <c r="I205" s="312" t="s">
        <v>22</v>
      </c>
      <c r="J205" s="312">
        <v>4.1713236E7</v>
      </c>
      <c r="K205" s="312">
        <v>3.133962403E9</v>
      </c>
      <c r="L205" s="316"/>
      <c r="M205" s="317" t="s">
        <v>24</v>
      </c>
      <c r="N205" s="317" t="s">
        <v>667</v>
      </c>
      <c r="O205" s="316" t="s">
        <v>82</v>
      </c>
      <c r="P205" s="10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</row>
    <row r="206" ht="18.0" customHeight="1">
      <c r="A206" s="5" t="s">
        <v>16</v>
      </c>
      <c r="B206" s="318">
        <v>300000.0</v>
      </c>
      <c r="C206" s="312" t="s">
        <v>62</v>
      </c>
      <c r="D206" s="313">
        <v>46038.0</v>
      </c>
      <c r="E206" s="314">
        <v>0.3333333333333333</v>
      </c>
      <c r="F206" s="319" t="s">
        <v>668</v>
      </c>
      <c r="G206" s="312" t="s">
        <v>97</v>
      </c>
      <c r="H206" s="315" t="s">
        <v>549</v>
      </c>
      <c r="I206" s="312" t="s">
        <v>22</v>
      </c>
      <c r="J206" s="312">
        <v>422302.0</v>
      </c>
      <c r="K206" s="312">
        <v>3.043454472E9</v>
      </c>
      <c r="L206" s="320" t="s">
        <v>669</v>
      </c>
      <c r="M206" s="321" t="s">
        <v>24</v>
      </c>
      <c r="N206" s="317" t="s">
        <v>670</v>
      </c>
      <c r="O206" s="316" t="s">
        <v>31</v>
      </c>
      <c r="P206" s="10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</row>
    <row r="207" ht="18.0" customHeight="1">
      <c r="A207" s="5" t="s">
        <v>16</v>
      </c>
      <c r="B207" s="311"/>
      <c r="C207" s="312" t="s">
        <v>62</v>
      </c>
      <c r="D207" s="313">
        <v>46038.0</v>
      </c>
      <c r="E207" s="314">
        <v>0.3333333333333333</v>
      </c>
      <c r="F207" s="315" t="s">
        <v>475</v>
      </c>
      <c r="G207" s="312" t="s">
        <v>97</v>
      </c>
      <c r="H207" s="315" t="s">
        <v>549</v>
      </c>
      <c r="I207" s="312" t="s">
        <v>22</v>
      </c>
      <c r="J207" s="312">
        <v>422302.0</v>
      </c>
      <c r="K207" s="312">
        <v>3.043454472E9</v>
      </c>
      <c r="L207" s="316"/>
      <c r="M207" s="321" t="s">
        <v>24</v>
      </c>
      <c r="N207" s="317" t="s">
        <v>670</v>
      </c>
      <c r="O207" s="316" t="s">
        <v>31</v>
      </c>
      <c r="P207" s="10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</row>
    <row r="208" ht="18.0" customHeight="1">
      <c r="A208" s="5" t="s">
        <v>16</v>
      </c>
      <c r="B208" s="333">
        <v>150.0</v>
      </c>
      <c r="C208" s="312" t="s">
        <v>62</v>
      </c>
      <c r="D208" s="313">
        <v>46038.0</v>
      </c>
      <c r="E208" s="314">
        <v>0.3333333333333333</v>
      </c>
      <c r="F208" s="315" t="s">
        <v>262</v>
      </c>
      <c r="G208" s="312" t="s">
        <v>20</v>
      </c>
      <c r="H208" s="315" t="s">
        <v>671</v>
      </c>
      <c r="I208" s="312" t="s">
        <v>22</v>
      </c>
      <c r="J208" s="312">
        <v>2.0743709E7</v>
      </c>
      <c r="K208" s="312">
        <v>3.15539648E9</v>
      </c>
      <c r="L208" s="316"/>
      <c r="M208" s="321" t="s">
        <v>24</v>
      </c>
      <c r="N208" s="317" t="s">
        <v>672</v>
      </c>
      <c r="O208" s="316" t="s">
        <v>31</v>
      </c>
      <c r="P208" s="10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</row>
    <row r="209" ht="18.0" customHeight="1">
      <c r="A209" s="5" t="s">
        <v>16</v>
      </c>
      <c r="B209" s="318">
        <v>130000.0</v>
      </c>
      <c r="C209" s="312" t="s">
        <v>62</v>
      </c>
      <c r="D209" s="313">
        <v>46038.0</v>
      </c>
      <c r="E209" s="314">
        <v>0.3333333333333333</v>
      </c>
      <c r="F209" s="319" t="s">
        <v>673</v>
      </c>
      <c r="G209" s="334" t="s">
        <v>483</v>
      </c>
      <c r="H209" s="315" t="s">
        <v>671</v>
      </c>
      <c r="I209" s="312" t="s">
        <v>22</v>
      </c>
      <c r="J209" s="312">
        <v>2.0743709E7</v>
      </c>
      <c r="K209" s="312">
        <v>3.15539648E9</v>
      </c>
      <c r="L209" s="316"/>
      <c r="M209" s="321" t="s">
        <v>24</v>
      </c>
      <c r="N209" s="317" t="s">
        <v>672</v>
      </c>
      <c r="O209" s="316" t="s">
        <v>31</v>
      </c>
      <c r="P209" s="10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</row>
    <row r="210" ht="18.0" customHeight="1">
      <c r="A210" s="5" t="s">
        <v>16</v>
      </c>
      <c r="B210" s="318">
        <v>220000.0</v>
      </c>
      <c r="C210" s="312" t="s">
        <v>62</v>
      </c>
      <c r="D210" s="313">
        <v>46038.0</v>
      </c>
      <c r="E210" s="314">
        <v>0.3333333333333333</v>
      </c>
      <c r="F210" s="319" t="s">
        <v>475</v>
      </c>
      <c r="G210" s="334" t="s">
        <v>628</v>
      </c>
      <c r="H210" s="315" t="s">
        <v>671</v>
      </c>
      <c r="I210" s="312" t="s">
        <v>22</v>
      </c>
      <c r="J210" s="312">
        <v>2.0743709E7</v>
      </c>
      <c r="K210" s="312">
        <v>3.15539648E9</v>
      </c>
      <c r="L210" s="316"/>
      <c r="M210" s="321" t="s">
        <v>24</v>
      </c>
      <c r="N210" s="317" t="s">
        <v>672</v>
      </c>
      <c r="O210" s="316" t="s">
        <v>31</v>
      </c>
      <c r="P210" s="10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</row>
    <row r="211" ht="18.0" customHeight="1">
      <c r="A211" s="5" t="s">
        <v>16</v>
      </c>
      <c r="B211" s="318">
        <v>340000.0</v>
      </c>
      <c r="C211" s="312" t="s">
        <v>62</v>
      </c>
      <c r="D211" s="313">
        <v>46038.0</v>
      </c>
      <c r="E211" s="314">
        <v>0.3333333333333333</v>
      </c>
      <c r="F211" s="319" t="s">
        <v>674</v>
      </c>
      <c r="G211" s="334" t="s">
        <v>628</v>
      </c>
      <c r="H211" s="315" t="s">
        <v>671</v>
      </c>
      <c r="I211" s="312" t="s">
        <v>22</v>
      </c>
      <c r="J211" s="312">
        <v>2.0743709E7</v>
      </c>
      <c r="K211" s="312">
        <v>3.15539648E9</v>
      </c>
      <c r="L211" s="316"/>
      <c r="M211" s="321" t="s">
        <v>24</v>
      </c>
      <c r="N211" s="317" t="s">
        <v>672</v>
      </c>
      <c r="O211" s="316" t="s">
        <v>31</v>
      </c>
      <c r="P211" s="10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</row>
    <row r="212" ht="18.0" customHeight="1">
      <c r="A212" s="5" t="s">
        <v>16</v>
      </c>
      <c r="B212" s="318">
        <v>380000.0</v>
      </c>
      <c r="C212" s="312" t="s">
        <v>62</v>
      </c>
      <c r="D212" s="313">
        <v>46038.0</v>
      </c>
      <c r="E212" s="314">
        <v>0.3541666666666667</v>
      </c>
      <c r="F212" s="319" t="s">
        <v>675</v>
      </c>
      <c r="G212" s="334" t="s">
        <v>63</v>
      </c>
      <c r="H212" s="315" t="s">
        <v>491</v>
      </c>
      <c r="I212" s="312" t="s">
        <v>22</v>
      </c>
      <c r="J212" s="312">
        <v>3.9666937E7</v>
      </c>
      <c r="K212" s="312">
        <v>3.192871588E9</v>
      </c>
      <c r="L212" s="320"/>
      <c r="M212" s="321" t="s">
        <v>24</v>
      </c>
      <c r="N212" s="317" t="s">
        <v>676</v>
      </c>
      <c r="O212" s="316" t="s">
        <v>31</v>
      </c>
      <c r="P212" s="10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</row>
    <row r="213" ht="18.0" customHeight="1">
      <c r="A213" s="5" t="s">
        <v>16</v>
      </c>
      <c r="B213" s="311"/>
      <c r="C213" s="312" t="s">
        <v>62</v>
      </c>
      <c r="D213" s="313">
        <v>46038.0</v>
      </c>
      <c r="E213" s="314">
        <v>0.3541666666666667</v>
      </c>
      <c r="F213" s="315" t="s">
        <v>475</v>
      </c>
      <c r="G213" s="334" t="s">
        <v>63</v>
      </c>
      <c r="H213" s="315" t="s">
        <v>491</v>
      </c>
      <c r="I213" s="312" t="s">
        <v>22</v>
      </c>
      <c r="J213" s="312">
        <v>3.9666937E7</v>
      </c>
      <c r="K213" s="312">
        <v>3.192871588E9</v>
      </c>
      <c r="L213" s="316"/>
      <c r="M213" s="321" t="s">
        <v>24</v>
      </c>
      <c r="N213" s="317" t="s">
        <v>676</v>
      </c>
      <c r="O213" s="316" t="s">
        <v>31</v>
      </c>
      <c r="P213" s="10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</row>
    <row r="214" ht="18.0" customHeight="1">
      <c r="A214" s="5" t="s">
        <v>16</v>
      </c>
      <c r="B214" s="318">
        <v>600000.0</v>
      </c>
      <c r="C214" s="312" t="s">
        <v>62</v>
      </c>
      <c r="D214" s="313">
        <v>46038.0</v>
      </c>
      <c r="E214" s="314">
        <v>0.3541666666666667</v>
      </c>
      <c r="F214" s="315" t="s">
        <v>479</v>
      </c>
      <c r="G214" s="312" t="s">
        <v>63</v>
      </c>
      <c r="H214" s="315" t="s">
        <v>480</v>
      </c>
      <c r="I214" s="312" t="s">
        <v>22</v>
      </c>
      <c r="J214" s="312">
        <v>2.0944441E7</v>
      </c>
      <c r="K214" s="312">
        <v>3.192871588E9</v>
      </c>
      <c r="L214" s="316"/>
      <c r="M214" s="321" t="s">
        <v>24</v>
      </c>
      <c r="N214" s="317" t="s">
        <v>677</v>
      </c>
      <c r="O214" s="316" t="s">
        <v>31</v>
      </c>
      <c r="P214" s="10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</row>
    <row r="215" ht="18.0" customHeight="1">
      <c r="A215" s="5" t="s">
        <v>16</v>
      </c>
      <c r="B215" s="311"/>
      <c r="C215" s="312" t="s">
        <v>62</v>
      </c>
      <c r="D215" s="313">
        <v>46038.0</v>
      </c>
      <c r="E215" s="314">
        <v>0.3541666666666667</v>
      </c>
      <c r="F215" s="315" t="s">
        <v>475</v>
      </c>
      <c r="G215" s="312" t="s">
        <v>63</v>
      </c>
      <c r="H215" s="315" t="s">
        <v>480</v>
      </c>
      <c r="I215" s="312" t="s">
        <v>22</v>
      </c>
      <c r="J215" s="312">
        <v>2.0944441E7</v>
      </c>
      <c r="K215" s="312">
        <v>3.192871588E9</v>
      </c>
      <c r="L215" s="316"/>
      <c r="M215" s="321" t="s">
        <v>24</v>
      </c>
      <c r="N215" s="317" t="s">
        <v>677</v>
      </c>
      <c r="O215" s="316" t="s">
        <v>31</v>
      </c>
      <c r="P215" s="10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</row>
    <row r="216" ht="18.0" customHeight="1">
      <c r="A216" s="5" t="s">
        <v>16</v>
      </c>
      <c r="B216" s="106"/>
      <c r="C216" s="304" t="s">
        <v>62</v>
      </c>
      <c r="D216" s="305">
        <v>46038.0</v>
      </c>
      <c r="E216" s="306">
        <v>0.3541666666666667</v>
      </c>
      <c r="F216" s="307" t="s">
        <v>262</v>
      </c>
      <c r="G216" s="304" t="s">
        <v>20</v>
      </c>
      <c r="H216" s="307" t="s">
        <v>678</v>
      </c>
      <c r="I216" s="304" t="s">
        <v>515</v>
      </c>
      <c r="J216" s="304">
        <v>1.034520218E9</v>
      </c>
      <c r="K216" s="304" t="s">
        <v>679</v>
      </c>
      <c r="L216" s="308" t="s">
        <v>680</v>
      </c>
      <c r="M216" s="322" t="s">
        <v>43</v>
      </c>
      <c r="N216" s="309"/>
      <c r="O216" s="310" t="s">
        <v>681</v>
      </c>
      <c r="P216" s="10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</row>
    <row r="217" ht="18.0" customHeight="1">
      <c r="A217" s="5" t="s">
        <v>16</v>
      </c>
      <c r="B217" s="106"/>
      <c r="C217" s="312" t="s">
        <v>62</v>
      </c>
      <c r="D217" s="313">
        <v>46038.0</v>
      </c>
      <c r="E217" s="314">
        <v>0.3541666666666667</v>
      </c>
      <c r="F217" s="315" t="s">
        <v>381</v>
      </c>
      <c r="G217" s="312" t="s">
        <v>48</v>
      </c>
      <c r="H217" s="315" t="s">
        <v>379</v>
      </c>
      <c r="I217" s="312" t="s">
        <v>22</v>
      </c>
      <c r="J217" s="312">
        <v>7.9655441E7</v>
      </c>
      <c r="K217" s="312">
        <v>3.150584678E9</v>
      </c>
      <c r="L217" s="316"/>
      <c r="M217" s="321" t="s">
        <v>24</v>
      </c>
      <c r="N217" s="317" t="s">
        <v>682</v>
      </c>
      <c r="O217" s="316" t="s">
        <v>377</v>
      </c>
      <c r="P217" s="10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</row>
    <row r="218" ht="18.0" customHeight="1">
      <c r="A218" s="5" t="s">
        <v>16</v>
      </c>
      <c r="B218" s="106"/>
      <c r="C218" s="312" t="s">
        <v>62</v>
      </c>
      <c r="D218" s="313">
        <v>46038.0</v>
      </c>
      <c r="E218" s="314">
        <v>0.3541666666666667</v>
      </c>
      <c r="F218" s="315" t="s">
        <v>547</v>
      </c>
      <c r="G218" s="312" t="s">
        <v>97</v>
      </c>
      <c r="H218" s="315" t="s">
        <v>379</v>
      </c>
      <c r="I218" s="312" t="s">
        <v>22</v>
      </c>
      <c r="J218" s="312">
        <v>7.9655441E7</v>
      </c>
      <c r="K218" s="312">
        <v>3.150584678E9</v>
      </c>
      <c r="L218" s="316"/>
      <c r="M218" s="321" t="s">
        <v>24</v>
      </c>
      <c r="N218" s="317" t="s">
        <v>682</v>
      </c>
      <c r="O218" s="316" t="s">
        <v>377</v>
      </c>
      <c r="P218" s="10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</row>
    <row r="219" ht="18.0" customHeight="1">
      <c r="A219" s="5" t="s">
        <v>16</v>
      </c>
      <c r="B219" s="318">
        <v>120000.0</v>
      </c>
      <c r="C219" s="312" t="s">
        <v>62</v>
      </c>
      <c r="D219" s="313">
        <v>46038.0</v>
      </c>
      <c r="E219" s="314">
        <v>0.4166666666666667</v>
      </c>
      <c r="F219" s="319" t="s">
        <v>683</v>
      </c>
      <c r="G219" s="334" t="s">
        <v>483</v>
      </c>
      <c r="H219" s="315" t="s">
        <v>527</v>
      </c>
      <c r="I219" s="312" t="s">
        <v>22</v>
      </c>
      <c r="J219" s="312">
        <v>2.068397E7</v>
      </c>
      <c r="K219" s="312">
        <v>3.204860305E9</v>
      </c>
      <c r="L219" s="320"/>
      <c r="M219" s="321" t="s">
        <v>24</v>
      </c>
      <c r="N219" s="317" t="s">
        <v>684</v>
      </c>
      <c r="O219" s="316" t="s">
        <v>377</v>
      </c>
      <c r="P219" s="10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</row>
    <row r="220" ht="18.0" customHeight="1">
      <c r="A220" s="5" t="s">
        <v>16</v>
      </c>
      <c r="B220" s="318">
        <v>120000.0</v>
      </c>
      <c r="C220" s="312" t="s">
        <v>62</v>
      </c>
      <c r="D220" s="313">
        <v>46038.0</v>
      </c>
      <c r="E220" s="314">
        <v>0.4166666666666667</v>
      </c>
      <c r="F220" s="315" t="s">
        <v>475</v>
      </c>
      <c r="G220" s="312" t="s">
        <v>97</v>
      </c>
      <c r="H220" s="315" t="s">
        <v>527</v>
      </c>
      <c r="I220" s="312" t="s">
        <v>22</v>
      </c>
      <c r="J220" s="312">
        <v>2.068397E7</v>
      </c>
      <c r="K220" s="312">
        <v>3.204860305E9</v>
      </c>
      <c r="L220" s="316"/>
      <c r="M220" s="321" t="s">
        <v>24</v>
      </c>
      <c r="N220" s="317" t="s">
        <v>684</v>
      </c>
      <c r="O220" s="316" t="s">
        <v>377</v>
      </c>
      <c r="P220" s="10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</row>
    <row r="221" ht="18.0" customHeight="1">
      <c r="A221" s="5" t="s">
        <v>16</v>
      </c>
      <c r="B221" s="318">
        <v>210000.0</v>
      </c>
      <c r="C221" s="312" t="s">
        <v>62</v>
      </c>
      <c r="D221" s="313">
        <v>46038.0</v>
      </c>
      <c r="E221" s="314">
        <v>0.4166666666666667</v>
      </c>
      <c r="F221" s="319" t="s">
        <v>685</v>
      </c>
      <c r="G221" s="312" t="s">
        <v>97</v>
      </c>
      <c r="H221" s="315" t="s">
        <v>527</v>
      </c>
      <c r="I221" s="312" t="s">
        <v>22</v>
      </c>
      <c r="J221" s="312">
        <v>2.068397E7</v>
      </c>
      <c r="K221" s="312">
        <v>3.204860305E9</v>
      </c>
      <c r="L221" s="316" t="s">
        <v>530</v>
      </c>
      <c r="M221" s="321" t="s">
        <v>24</v>
      </c>
      <c r="N221" s="317" t="s">
        <v>684</v>
      </c>
      <c r="O221" s="316" t="s">
        <v>377</v>
      </c>
      <c r="P221" s="10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</row>
    <row r="222" ht="18.0" customHeight="1">
      <c r="A222" s="5" t="s">
        <v>16</v>
      </c>
      <c r="B222" s="318">
        <v>110000.0</v>
      </c>
      <c r="C222" s="312" t="s">
        <v>62</v>
      </c>
      <c r="D222" s="313">
        <v>46038.0</v>
      </c>
      <c r="E222" s="314">
        <v>0.4166666666666667</v>
      </c>
      <c r="F222" s="319" t="s">
        <v>686</v>
      </c>
      <c r="G222" s="334" t="s">
        <v>483</v>
      </c>
      <c r="H222" s="315" t="s">
        <v>553</v>
      </c>
      <c r="I222" s="312" t="s">
        <v>22</v>
      </c>
      <c r="J222" s="312">
        <v>4.0024236E7</v>
      </c>
      <c r="K222" s="312">
        <v>3.142744518E9</v>
      </c>
      <c r="L222" s="320"/>
      <c r="M222" s="321" t="s">
        <v>24</v>
      </c>
      <c r="N222" s="317" t="s">
        <v>687</v>
      </c>
      <c r="O222" s="316" t="s">
        <v>444</v>
      </c>
      <c r="P222" s="10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</row>
    <row r="223" ht="18.0" customHeight="1">
      <c r="A223" s="5" t="s">
        <v>16</v>
      </c>
      <c r="B223" s="318">
        <v>220000.0</v>
      </c>
      <c r="C223" s="312" t="s">
        <v>62</v>
      </c>
      <c r="D223" s="313">
        <v>46038.0</v>
      </c>
      <c r="E223" s="314">
        <v>0.4166666666666667</v>
      </c>
      <c r="F223" s="315" t="s">
        <v>475</v>
      </c>
      <c r="G223" s="312" t="s">
        <v>97</v>
      </c>
      <c r="H223" s="315" t="s">
        <v>553</v>
      </c>
      <c r="I223" s="312" t="s">
        <v>22</v>
      </c>
      <c r="J223" s="312">
        <v>4.0024236E7</v>
      </c>
      <c r="K223" s="312">
        <v>3.142744518E9</v>
      </c>
      <c r="L223" s="320"/>
      <c r="M223" s="321" t="s">
        <v>24</v>
      </c>
      <c r="N223" s="317" t="s">
        <v>687</v>
      </c>
      <c r="O223" s="316" t="s">
        <v>444</v>
      </c>
      <c r="P223" s="10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</row>
    <row r="224" ht="18.0" customHeight="1">
      <c r="A224" s="5" t="s">
        <v>16</v>
      </c>
      <c r="B224" s="318">
        <v>340000.0</v>
      </c>
      <c r="C224" s="312" t="s">
        <v>62</v>
      </c>
      <c r="D224" s="313">
        <v>46038.0</v>
      </c>
      <c r="E224" s="314">
        <v>0.4166666666666667</v>
      </c>
      <c r="F224" s="319" t="s">
        <v>688</v>
      </c>
      <c r="G224" s="312" t="s">
        <v>97</v>
      </c>
      <c r="H224" s="315" t="s">
        <v>553</v>
      </c>
      <c r="I224" s="312" t="s">
        <v>22</v>
      </c>
      <c r="J224" s="312">
        <v>4.0024236E7</v>
      </c>
      <c r="K224" s="312">
        <v>3.142744518E9</v>
      </c>
      <c r="L224" s="316"/>
      <c r="M224" s="321" t="s">
        <v>24</v>
      </c>
      <c r="N224" s="317" t="s">
        <v>687</v>
      </c>
      <c r="O224" s="316" t="s">
        <v>444</v>
      </c>
      <c r="P224" s="10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</row>
    <row r="225" ht="18.0" customHeight="1">
      <c r="A225" s="5" t="s">
        <v>16</v>
      </c>
      <c r="B225" s="106"/>
      <c r="C225" s="312" t="s">
        <v>62</v>
      </c>
      <c r="D225" s="313">
        <v>46038.0</v>
      </c>
      <c r="E225" s="314">
        <v>0.4375</v>
      </c>
      <c r="F225" s="315" t="s">
        <v>475</v>
      </c>
      <c r="G225" s="312" t="s">
        <v>97</v>
      </c>
      <c r="H225" s="315" t="s">
        <v>574</v>
      </c>
      <c r="I225" s="312" t="s">
        <v>22</v>
      </c>
      <c r="J225" s="312">
        <v>1.070953121E9</v>
      </c>
      <c r="K225" s="312">
        <v>3.132947132E9</v>
      </c>
      <c r="L225" s="320" t="s">
        <v>689</v>
      </c>
      <c r="M225" s="321" t="s">
        <v>24</v>
      </c>
      <c r="N225" s="317" t="s">
        <v>690</v>
      </c>
      <c r="O225" s="316" t="s">
        <v>44</v>
      </c>
      <c r="P225" s="10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</row>
    <row r="226" ht="18.0" customHeight="1">
      <c r="A226" s="5" t="s">
        <v>16</v>
      </c>
      <c r="B226" s="106"/>
      <c r="C226" s="312" t="s">
        <v>62</v>
      </c>
      <c r="D226" s="313">
        <v>46038.0</v>
      </c>
      <c r="E226" s="314">
        <v>0.4375</v>
      </c>
      <c r="F226" s="319" t="s">
        <v>691</v>
      </c>
      <c r="G226" s="312" t="s">
        <v>97</v>
      </c>
      <c r="H226" s="315" t="s">
        <v>574</v>
      </c>
      <c r="I226" s="312" t="s">
        <v>22</v>
      </c>
      <c r="J226" s="312">
        <v>1.070953121E9</v>
      </c>
      <c r="K226" s="312">
        <v>3.132947132E9</v>
      </c>
      <c r="L226" s="316"/>
      <c r="M226" s="321" t="s">
        <v>24</v>
      </c>
      <c r="N226" s="317" t="s">
        <v>690</v>
      </c>
      <c r="O226" s="316" t="s">
        <v>44</v>
      </c>
      <c r="P226" s="10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</row>
    <row r="227" ht="18.0" customHeight="1">
      <c r="A227" s="5" t="s">
        <v>16</v>
      </c>
      <c r="B227" s="106"/>
      <c r="C227" s="312" t="s">
        <v>62</v>
      </c>
      <c r="D227" s="313">
        <v>46038.0</v>
      </c>
      <c r="E227" s="314">
        <v>0.4375</v>
      </c>
      <c r="F227" s="315" t="s">
        <v>475</v>
      </c>
      <c r="G227" s="312" t="s">
        <v>97</v>
      </c>
      <c r="H227" s="315" t="s">
        <v>692</v>
      </c>
      <c r="I227" s="312" t="s">
        <v>22</v>
      </c>
      <c r="J227" s="312">
        <v>5.2051913E7</v>
      </c>
      <c r="K227" s="312">
        <v>3.10231325E9</v>
      </c>
      <c r="L227" s="335"/>
      <c r="M227" s="321" t="s">
        <v>24</v>
      </c>
      <c r="N227" s="317" t="s">
        <v>693</v>
      </c>
      <c r="O227" s="316" t="s">
        <v>377</v>
      </c>
      <c r="P227" s="10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</row>
    <row r="228" ht="18.0" customHeight="1">
      <c r="A228" s="5" t="s">
        <v>16</v>
      </c>
      <c r="B228" s="106"/>
      <c r="C228" s="312" t="s">
        <v>62</v>
      </c>
      <c r="D228" s="313">
        <v>46038.0</v>
      </c>
      <c r="E228" s="314">
        <v>0.4375</v>
      </c>
      <c r="F228" s="319" t="s">
        <v>694</v>
      </c>
      <c r="G228" s="312" t="s">
        <v>97</v>
      </c>
      <c r="H228" s="315" t="s">
        <v>692</v>
      </c>
      <c r="I228" s="312" t="s">
        <v>22</v>
      </c>
      <c r="J228" s="312">
        <v>5.2051913E7</v>
      </c>
      <c r="K228" s="312">
        <v>3.10231325E9</v>
      </c>
      <c r="L228" s="336"/>
      <c r="M228" s="321" t="s">
        <v>24</v>
      </c>
      <c r="N228" s="317" t="s">
        <v>693</v>
      </c>
      <c r="O228" s="316" t="s">
        <v>377</v>
      </c>
      <c r="P228" s="10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</row>
    <row r="229" ht="18.0" customHeight="1">
      <c r="A229" s="5" t="s">
        <v>16</v>
      </c>
      <c r="B229" s="318">
        <v>66000.0</v>
      </c>
      <c r="C229" s="312" t="s">
        <v>62</v>
      </c>
      <c r="D229" s="313">
        <v>46038.0</v>
      </c>
      <c r="E229" s="314">
        <v>0.4375</v>
      </c>
      <c r="F229" s="319" t="s">
        <v>695</v>
      </c>
      <c r="G229" s="334" t="s">
        <v>483</v>
      </c>
      <c r="H229" s="315" t="s">
        <v>692</v>
      </c>
      <c r="I229" s="312" t="s">
        <v>22</v>
      </c>
      <c r="J229" s="312">
        <v>5.2051913E7</v>
      </c>
      <c r="K229" s="312">
        <v>3.10231325E9</v>
      </c>
      <c r="L229" s="335"/>
      <c r="M229" s="321" t="s">
        <v>24</v>
      </c>
      <c r="N229" s="317" t="s">
        <v>693</v>
      </c>
      <c r="O229" s="316" t="s">
        <v>377</v>
      </c>
      <c r="P229" s="10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</row>
    <row r="230" ht="18.0" customHeight="1">
      <c r="A230" s="5" t="s">
        <v>16</v>
      </c>
      <c r="B230" s="106"/>
      <c r="C230" s="312" t="s">
        <v>62</v>
      </c>
      <c r="D230" s="313">
        <v>46038.0</v>
      </c>
      <c r="E230" s="314">
        <v>0.4583333333333333</v>
      </c>
      <c r="F230" s="315" t="s">
        <v>475</v>
      </c>
      <c r="G230" s="312" t="s">
        <v>97</v>
      </c>
      <c r="H230" s="315" t="s">
        <v>696</v>
      </c>
      <c r="I230" s="312" t="s">
        <v>22</v>
      </c>
      <c r="J230" s="312">
        <v>1.6649087E7</v>
      </c>
      <c r="K230" s="312">
        <v>3.10231325E9</v>
      </c>
      <c r="L230" s="335"/>
      <c r="M230" s="321" t="s">
        <v>24</v>
      </c>
      <c r="N230" s="317" t="s">
        <v>697</v>
      </c>
      <c r="O230" s="316" t="s">
        <v>377</v>
      </c>
      <c r="P230" s="10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</row>
    <row r="231" ht="18.0" customHeight="1">
      <c r="A231" s="5" t="s">
        <v>16</v>
      </c>
      <c r="B231" s="106"/>
      <c r="C231" s="312" t="s">
        <v>62</v>
      </c>
      <c r="D231" s="313">
        <v>46038.0</v>
      </c>
      <c r="E231" s="314">
        <v>0.4583333333333333</v>
      </c>
      <c r="F231" s="319" t="s">
        <v>698</v>
      </c>
      <c r="G231" s="312" t="s">
        <v>97</v>
      </c>
      <c r="H231" s="315" t="s">
        <v>696</v>
      </c>
      <c r="I231" s="312" t="s">
        <v>22</v>
      </c>
      <c r="J231" s="312">
        <v>1.6649087E7</v>
      </c>
      <c r="K231" s="312">
        <v>3.10231325E9</v>
      </c>
      <c r="L231" s="336"/>
      <c r="M231" s="321" t="s">
        <v>24</v>
      </c>
      <c r="N231" s="317" t="s">
        <v>697</v>
      </c>
      <c r="O231" s="316" t="s">
        <v>377</v>
      </c>
      <c r="P231" s="10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</row>
    <row r="232" ht="18.0" customHeight="1">
      <c r="A232" s="5" t="s">
        <v>16</v>
      </c>
      <c r="B232" s="318">
        <v>120000.0</v>
      </c>
      <c r="C232" s="312" t="s">
        <v>62</v>
      </c>
      <c r="D232" s="313">
        <v>46038.0</v>
      </c>
      <c r="E232" s="314">
        <v>0.4583333333333333</v>
      </c>
      <c r="F232" s="319" t="s">
        <v>475</v>
      </c>
      <c r="G232" s="312" t="s">
        <v>699</v>
      </c>
      <c r="H232" s="315" t="s">
        <v>700</v>
      </c>
      <c r="I232" s="312" t="s">
        <v>22</v>
      </c>
      <c r="J232" s="312">
        <v>3.782831E7</v>
      </c>
      <c r="K232" s="312">
        <v>3.204848641E9</v>
      </c>
      <c r="L232" s="316"/>
      <c r="M232" s="321" t="s">
        <v>24</v>
      </c>
      <c r="N232" s="317" t="s">
        <v>701</v>
      </c>
      <c r="O232" s="316" t="s">
        <v>31</v>
      </c>
      <c r="P232" s="10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</row>
    <row r="233" ht="18.0" customHeight="1">
      <c r="A233" s="5" t="s">
        <v>16</v>
      </c>
      <c r="B233" s="318">
        <v>100000.0</v>
      </c>
      <c r="C233" s="312" t="s">
        <v>62</v>
      </c>
      <c r="D233" s="313">
        <v>46038.0</v>
      </c>
      <c r="E233" s="314">
        <v>0.4583333333333333</v>
      </c>
      <c r="F233" s="319" t="s">
        <v>471</v>
      </c>
      <c r="G233" s="312" t="s">
        <v>20</v>
      </c>
      <c r="H233" s="315" t="s">
        <v>702</v>
      </c>
      <c r="I233" s="312" t="s">
        <v>22</v>
      </c>
      <c r="J233" s="312">
        <v>5.2082364E7</v>
      </c>
      <c r="K233" s="312">
        <v>3.202969197E9</v>
      </c>
      <c r="L233" s="320"/>
      <c r="M233" s="321" t="s">
        <v>24</v>
      </c>
      <c r="N233" s="317" t="s">
        <v>703</v>
      </c>
      <c r="O233" s="316" t="s">
        <v>704</v>
      </c>
      <c r="P233" s="10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</row>
    <row r="234" ht="18.0" customHeight="1">
      <c r="A234" s="5" t="s">
        <v>16</v>
      </c>
      <c r="B234" s="318">
        <v>180000.0</v>
      </c>
      <c r="C234" s="312" t="s">
        <v>62</v>
      </c>
      <c r="D234" s="313">
        <v>46038.0</v>
      </c>
      <c r="E234" s="314">
        <v>0.4583333333333333</v>
      </c>
      <c r="F234" s="319" t="s">
        <v>705</v>
      </c>
      <c r="G234" s="312" t="s">
        <v>483</v>
      </c>
      <c r="H234" s="315" t="s">
        <v>702</v>
      </c>
      <c r="I234" s="312" t="s">
        <v>22</v>
      </c>
      <c r="J234" s="312">
        <v>5.2082364E7</v>
      </c>
      <c r="K234" s="312">
        <v>3.202969197E9</v>
      </c>
      <c r="L234" s="320"/>
      <c r="M234" s="321" t="s">
        <v>24</v>
      </c>
      <c r="N234" s="317" t="s">
        <v>703</v>
      </c>
      <c r="O234" s="316" t="s">
        <v>704</v>
      </c>
      <c r="P234" s="10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</row>
    <row r="235" ht="18.0" customHeight="1">
      <c r="A235" s="5" t="s">
        <v>16</v>
      </c>
      <c r="B235" s="318">
        <v>550000.0</v>
      </c>
      <c r="C235" s="312" t="s">
        <v>62</v>
      </c>
      <c r="D235" s="313">
        <v>46038.0</v>
      </c>
      <c r="E235" s="314">
        <v>0.4583333333333333</v>
      </c>
      <c r="F235" s="319" t="s">
        <v>55</v>
      </c>
      <c r="G235" s="312" t="s">
        <v>72</v>
      </c>
      <c r="H235" s="315" t="s">
        <v>702</v>
      </c>
      <c r="I235" s="312" t="s">
        <v>22</v>
      </c>
      <c r="J235" s="312">
        <v>5.2082364E7</v>
      </c>
      <c r="K235" s="312">
        <v>3.202969197E9</v>
      </c>
      <c r="L235" s="320"/>
      <c r="M235" s="321" t="s">
        <v>24</v>
      </c>
      <c r="N235" s="317" t="s">
        <v>703</v>
      </c>
      <c r="O235" s="316" t="s">
        <v>704</v>
      </c>
      <c r="P235" s="10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</row>
    <row r="236" ht="18.0" customHeight="1">
      <c r="A236" s="5" t="s">
        <v>16</v>
      </c>
      <c r="B236" s="106"/>
      <c r="C236" s="304" t="s">
        <v>62</v>
      </c>
      <c r="D236" s="305">
        <v>46038.0</v>
      </c>
      <c r="E236" s="306">
        <v>0.4583333333333333</v>
      </c>
      <c r="F236" s="307" t="s">
        <v>561</v>
      </c>
      <c r="G236" s="304" t="s">
        <v>97</v>
      </c>
      <c r="H236" s="307" t="s">
        <v>562</v>
      </c>
      <c r="I236" s="304" t="s">
        <v>22</v>
      </c>
      <c r="J236" s="304">
        <v>5.2186794E7</v>
      </c>
      <c r="K236" s="304">
        <v>3.005647166E9</v>
      </c>
      <c r="L236" s="308"/>
      <c r="M236" s="308" t="s">
        <v>30</v>
      </c>
      <c r="N236" s="309"/>
      <c r="O236" s="310" t="s">
        <v>377</v>
      </c>
      <c r="P236" s="10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</row>
    <row r="237" ht="18.0" customHeight="1">
      <c r="A237" s="5" t="s">
        <v>16</v>
      </c>
      <c r="B237" s="318">
        <v>510000.0</v>
      </c>
      <c r="C237" s="312" t="s">
        <v>62</v>
      </c>
      <c r="D237" s="313">
        <v>46038.0</v>
      </c>
      <c r="E237" s="314">
        <v>0.6666666666666666</v>
      </c>
      <c r="F237" s="319" t="s">
        <v>706</v>
      </c>
      <c r="G237" s="312" t="s">
        <v>97</v>
      </c>
      <c r="H237" s="315" t="s">
        <v>541</v>
      </c>
      <c r="I237" s="312" t="s">
        <v>22</v>
      </c>
      <c r="J237" s="312">
        <v>3.9306315E7</v>
      </c>
      <c r="K237" s="312">
        <v>3.023876555E9</v>
      </c>
      <c r="L237" s="320"/>
      <c r="M237" s="321" t="s">
        <v>24</v>
      </c>
      <c r="N237" s="317" t="s">
        <v>707</v>
      </c>
      <c r="O237" s="316" t="s">
        <v>31</v>
      </c>
      <c r="P237" s="10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</row>
    <row r="238" ht="18.0" customHeight="1">
      <c r="A238" s="13"/>
      <c r="B238" s="106"/>
      <c r="C238" s="13"/>
      <c r="D238" s="11"/>
      <c r="E238" s="13"/>
      <c r="F238" s="10"/>
      <c r="G238" s="13"/>
      <c r="H238" s="10"/>
      <c r="I238" s="13"/>
      <c r="J238" s="13"/>
      <c r="K238" s="13"/>
      <c r="L238" s="337"/>
      <c r="M238" s="338"/>
      <c r="N238" s="338"/>
      <c r="O238" s="337"/>
      <c r="P238" s="10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</row>
    <row r="239" ht="18.0" customHeight="1">
      <c r="A239" s="5" t="s">
        <v>16</v>
      </c>
      <c r="B239" s="106"/>
      <c r="C239" s="312" t="s">
        <v>285</v>
      </c>
      <c r="D239" s="313">
        <v>46039.0</v>
      </c>
      <c r="E239" s="314">
        <v>0.3333333333333333</v>
      </c>
      <c r="F239" s="319" t="s">
        <v>708</v>
      </c>
      <c r="G239" s="312" t="s">
        <v>48</v>
      </c>
      <c r="H239" s="315" t="s">
        <v>709</v>
      </c>
      <c r="I239" s="312" t="s">
        <v>22</v>
      </c>
      <c r="J239" s="312">
        <v>5.2213015E7</v>
      </c>
      <c r="K239" s="312">
        <v>3.223106383E9</v>
      </c>
      <c r="L239" s="336"/>
      <c r="M239" s="321" t="s">
        <v>710</v>
      </c>
      <c r="N239" s="317" t="s">
        <v>711</v>
      </c>
      <c r="O239" s="316" t="s">
        <v>377</v>
      </c>
      <c r="P239" s="10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</row>
    <row r="240" ht="18.0" customHeight="1">
      <c r="A240" s="5" t="s">
        <v>16</v>
      </c>
      <c r="B240" s="318">
        <v>150000.0</v>
      </c>
      <c r="C240" s="312" t="s">
        <v>285</v>
      </c>
      <c r="D240" s="313">
        <v>46039.0</v>
      </c>
      <c r="E240" s="314">
        <v>0.375</v>
      </c>
      <c r="F240" s="319" t="s">
        <v>262</v>
      </c>
      <c r="G240" s="312" t="s">
        <v>127</v>
      </c>
      <c r="H240" s="315" t="s">
        <v>712</v>
      </c>
      <c r="I240" s="312" t="s">
        <v>22</v>
      </c>
      <c r="J240" s="312">
        <v>1.0214031E9</v>
      </c>
      <c r="K240" s="312">
        <v>3.002675984E9</v>
      </c>
      <c r="L240" s="320"/>
      <c r="M240" s="321" t="s">
        <v>710</v>
      </c>
      <c r="N240" s="317" t="s">
        <v>713</v>
      </c>
      <c r="O240" s="316" t="s">
        <v>92</v>
      </c>
      <c r="P240" s="10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</row>
    <row r="241" ht="18.0" customHeight="1">
      <c r="A241" s="5" t="s">
        <v>16</v>
      </c>
      <c r="B241" s="318">
        <v>142000.0</v>
      </c>
      <c r="C241" s="312" t="s">
        <v>285</v>
      </c>
      <c r="D241" s="313">
        <v>46039.0</v>
      </c>
      <c r="E241" s="314">
        <v>0.375</v>
      </c>
      <c r="F241" s="319" t="s">
        <v>714</v>
      </c>
      <c r="G241" s="334" t="s">
        <v>483</v>
      </c>
      <c r="H241" s="315" t="s">
        <v>712</v>
      </c>
      <c r="I241" s="312" t="s">
        <v>22</v>
      </c>
      <c r="J241" s="312">
        <v>1.0214031E9</v>
      </c>
      <c r="K241" s="312">
        <v>3.002675984E9</v>
      </c>
      <c r="L241" s="320"/>
      <c r="M241" s="321" t="s">
        <v>710</v>
      </c>
      <c r="N241" s="317" t="s">
        <v>713</v>
      </c>
      <c r="O241" s="316" t="s">
        <v>92</v>
      </c>
      <c r="P241" s="10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</row>
    <row r="242" ht="18.0" customHeight="1">
      <c r="A242" s="5" t="s">
        <v>16</v>
      </c>
      <c r="B242" s="318">
        <v>150000.0</v>
      </c>
      <c r="C242" s="312" t="s">
        <v>285</v>
      </c>
      <c r="D242" s="313">
        <v>46039.0</v>
      </c>
      <c r="E242" s="314">
        <v>0.375</v>
      </c>
      <c r="F242" s="319" t="s">
        <v>715</v>
      </c>
      <c r="G242" s="334" t="s">
        <v>56</v>
      </c>
      <c r="H242" s="315" t="s">
        <v>712</v>
      </c>
      <c r="I242" s="312" t="s">
        <v>22</v>
      </c>
      <c r="J242" s="312">
        <v>1.0214031E9</v>
      </c>
      <c r="K242" s="312">
        <v>3.002675984E9</v>
      </c>
      <c r="L242" s="320" t="s">
        <v>530</v>
      </c>
      <c r="M242" s="321" t="s">
        <v>710</v>
      </c>
      <c r="N242" s="317" t="s">
        <v>713</v>
      </c>
      <c r="O242" s="316" t="s">
        <v>92</v>
      </c>
      <c r="P242" s="10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</row>
    <row r="243" ht="18.0" customHeight="1">
      <c r="A243" s="5" t="s">
        <v>16</v>
      </c>
      <c r="B243" s="106"/>
      <c r="C243" s="304" t="s">
        <v>285</v>
      </c>
      <c r="D243" s="305">
        <v>46039.0</v>
      </c>
      <c r="E243" s="306">
        <v>0.375</v>
      </c>
      <c r="F243" s="307" t="s">
        <v>262</v>
      </c>
      <c r="G243" s="304" t="s">
        <v>20</v>
      </c>
      <c r="H243" s="307" t="s">
        <v>716</v>
      </c>
      <c r="I243" s="304" t="s">
        <v>22</v>
      </c>
      <c r="J243" s="304"/>
      <c r="K243" s="304">
        <v>3.104851031E9</v>
      </c>
      <c r="L243" s="310"/>
      <c r="M243" s="308" t="s">
        <v>30</v>
      </c>
      <c r="N243" s="322"/>
      <c r="O243" s="310" t="s">
        <v>717</v>
      </c>
      <c r="P243" s="10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</row>
    <row r="244" ht="18.0" customHeight="1">
      <c r="A244" s="5" t="s">
        <v>16</v>
      </c>
      <c r="B244" s="106"/>
      <c r="C244" s="304" t="s">
        <v>285</v>
      </c>
      <c r="D244" s="305">
        <v>46039.0</v>
      </c>
      <c r="E244" s="306">
        <v>0.4166666666666667</v>
      </c>
      <c r="F244" s="307" t="s">
        <v>475</v>
      </c>
      <c r="G244" s="304" t="s">
        <v>97</v>
      </c>
      <c r="H244" s="307" t="s">
        <v>577</v>
      </c>
      <c r="I244" s="304" t="s">
        <v>22</v>
      </c>
      <c r="J244" s="304">
        <v>1.1343645E7</v>
      </c>
      <c r="K244" s="304">
        <v>3.112309495E9</v>
      </c>
      <c r="L244" s="339" t="s">
        <v>718</v>
      </c>
      <c r="M244" s="308" t="s">
        <v>30</v>
      </c>
      <c r="N244" s="322"/>
      <c r="O244" s="310" t="s">
        <v>44</v>
      </c>
      <c r="P244" s="10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</row>
    <row r="245" ht="18.0" customHeight="1">
      <c r="A245" s="5" t="s">
        <v>16</v>
      </c>
      <c r="B245" s="106"/>
      <c r="C245" s="304" t="s">
        <v>285</v>
      </c>
      <c r="D245" s="305">
        <v>46039.0</v>
      </c>
      <c r="E245" s="306">
        <v>0.4166666666666667</v>
      </c>
      <c r="F245" s="307" t="s">
        <v>580</v>
      </c>
      <c r="G245" s="304" t="s">
        <v>97</v>
      </c>
      <c r="H245" s="307" t="s">
        <v>577</v>
      </c>
      <c r="I245" s="304" t="s">
        <v>22</v>
      </c>
      <c r="J245" s="304">
        <v>1.1343645E7</v>
      </c>
      <c r="K245" s="304">
        <v>3.112309495E9</v>
      </c>
      <c r="L245" s="339" t="s">
        <v>719</v>
      </c>
      <c r="M245" s="308" t="s">
        <v>30</v>
      </c>
      <c r="N245" s="322"/>
      <c r="O245" s="310" t="s">
        <v>44</v>
      </c>
      <c r="P245" s="10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</row>
    <row r="246" ht="18.0" customHeight="1">
      <c r="A246" s="5" t="s">
        <v>16</v>
      </c>
      <c r="B246" s="106"/>
      <c r="C246" s="304" t="s">
        <v>285</v>
      </c>
      <c r="D246" s="305">
        <v>46039.0</v>
      </c>
      <c r="E246" s="306">
        <v>0.4583333333333333</v>
      </c>
      <c r="F246" s="307" t="s">
        <v>55</v>
      </c>
      <c r="G246" s="304" t="s">
        <v>97</v>
      </c>
      <c r="H246" s="307" t="s">
        <v>570</v>
      </c>
      <c r="I246" s="304" t="s">
        <v>22</v>
      </c>
      <c r="J246" s="304">
        <v>5.1981953E7</v>
      </c>
      <c r="K246" s="304">
        <v>3.243177071E9</v>
      </c>
      <c r="L246" s="339"/>
      <c r="M246" s="308" t="s">
        <v>30</v>
      </c>
      <c r="N246" s="322"/>
      <c r="O246" s="310" t="s">
        <v>569</v>
      </c>
      <c r="P246" s="10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</row>
    <row r="247" ht="18.0" customHeight="1">
      <c r="A247" s="5" t="s">
        <v>16</v>
      </c>
      <c r="B247" s="106"/>
      <c r="C247" s="304" t="s">
        <v>285</v>
      </c>
      <c r="D247" s="305">
        <v>46039.0</v>
      </c>
      <c r="E247" s="306">
        <v>0.4166666666666667</v>
      </c>
      <c r="F247" s="307" t="s">
        <v>262</v>
      </c>
      <c r="G247" s="304" t="s">
        <v>20</v>
      </c>
      <c r="H247" s="307" t="s">
        <v>570</v>
      </c>
      <c r="I247" s="304" t="s">
        <v>22</v>
      </c>
      <c r="J247" s="304">
        <v>5.1981953E7</v>
      </c>
      <c r="K247" s="304">
        <v>3.243177071E9</v>
      </c>
      <c r="L247" s="310"/>
      <c r="M247" s="308" t="s">
        <v>30</v>
      </c>
      <c r="N247" s="322"/>
      <c r="O247" s="310" t="s">
        <v>569</v>
      </c>
      <c r="P247" s="10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</row>
    <row r="248" ht="18.0" customHeight="1">
      <c r="A248" s="5" t="s">
        <v>16</v>
      </c>
      <c r="B248" s="106"/>
      <c r="C248" s="312" t="s">
        <v>285</v>
      </c>
      <c r="D248" s="313">
        <v>46039.0</v>
      </c>
      <c r="E248" s="314">
        <v>0.4375</v>
      </c>
      <c r="F248" s="319" t="s">
        <v>475</v>
      </c>
      <c r="G248" s="312" t="s">
        <v>63</v>
      </c>
      <c r="H248" s="315" t="s">
        <v>581</v>
      </c>
      <c r="I248" s="312" t="s">
        <v>22</v>
      </c>
      <c r="J248" s="312">
        <v>7.9296397E7</v>
      </c>
      <c r="K248" s="312">
        <v>3.203781516E9</v>
      </c>
      <c r="L248" s="336"/>
      <c r="M248" s="321" t="s">
        <v>710</v>
      </c>
      <c r="N248" s="317" t="s">
        <v>720</v>
      </c>
      <c r="O248" s="316" t="s">
        <v>377</v>
      </c>
      <c r="P248" s="10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</row>
    <row r="249" ht="18.0" customHeight="1">
      <c r="A249" s="5" t="s">
        <v>16</v>
      </c>
      <c r="B249" s="106"/>
      <c r="C249" s="312" t="s">
        <v>285</v>
      </c>
      <c r="D249" s="313">
        <v>46039.0</v>
      </c>
      <c r="E249" s="314">
        <v>0.4375</v>
      </c>
      <c r="F249" s="319" t="s">
        <v>582</v>
      </c>
      <c r="G249" s="312" t="s">
        <v>63</v>
      </c>
      <c r="H249" s="315" t="s">
        <v>581</v>
      </c>
      <c r="I249" s="312" t="s">
        <v>22</v>
      </c>
      <c r="J249" s="312">
        <v>7.9296397E7</v>
      </c>
      <c r="K249" s="312">
        <v>3.203781516E9</v>
      </c>
      <c r="L249" s="336"/>
      <c r="M249" s="321" t="s">
        <v>710</v>
      </c>
      <c r="N249" s="317" t="s">
        <v>720</v>
      </c>
      <c r="O249" s="316" t="s">
        <v>377</v>
      </c>
      <c r="P249" s="10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</row>
    <row r="250" ht="18.0" customHeight="1">
      <c r="A250" s="5" t="s">
        <v>16</v>
      </c>
      <c r="B250" s="106"/>
      <c r="C250" s="304" t="s">
        <v>285</v>
      </c>
      <c r="D250" s="305">
        <v>46039.0</v>
      </c>
      <c r="E250" s="306">
        <v>0.4583333333333333</v>
      </c>
      <c r="F250" s="307" t="s">
        <v>471</v>
      </c>
      <c r="G250" s="304" t="s">
        <v>20</v>
      </c>
      <c r="H250" s="307" t="s">
        <v>388</v>
      </c>
      <c r="I250" s="304" t="s">
        <v>22</v>
      </c>
      <c r="J250" s="304">
        <v>8.0006197E7</v>
      </c>
      <c r="K250" s="304">
        <v>3.232845251E9</v>
      </c>
      <c r="L250" s="339" t="s">
        <v>721</v>
      </c>
      <c r="M250" s="308" t="s">
        <v>43</v>
      </c>
      <c r="N250" s="322"/>
      <c r="O250" s="310" t="s">
        <v>31</v>
      </c>
      <c r="P250" s="10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</row>
    <row r="251" ht="18.0" customHeight="1">
      <c r="A251" s="5" t="s">
        <v>16</v>
      </c>
      <c r="B251" s="318">
        <v>150000.0</v>
      </c>
      <c r="C251" s="312" t="s">
        <v>722</v>
      </c>
      <c r="D251" s="313" t="s">
        <v>723</v>
      </c>
      <c r="E251" s="314">
        <v>0.4583333333333333</v>
      </c>
      <c r="F251" s="319" t="s">
        <v>262</v>
      </c>
      <c r="G251" s="334" t="s">
        <v>20</v>
      </c>
      <c r="H251" s="315" t="s">
        <v>724</v>
      </c>
      <c r="I251" s="312" t="s">
        <v>22</v>
      </c>
      <c r="J251" s="312">
        <v>7.9895917E7</v>
      </c>
      <c r="K251" s="312">
        <v>3.152945156E9</v>
      </c>
      <c r="L251" s="320"/>
      <c r="M251" s="321" t="s">
        <v>24</v>
      </c>
      <c r="N251" s="317" t="s">
        <v>725</v>
      </c>
      <c r="O251" s="316" t="s">
        <v>92</v>
      </c>
      <c r="P251" s="10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</row>
    <row r="252" ht="18.0" customHeight="1">
      <c r="A252" s="5" t="s">
        <v>16</v>
      </c>
      <c r="B252" s="318">
        <v>240000.0</v>
      </c>
      <c r="C252" s="312" t="s">
        <v>722</v>
      </c>
      <c r="D252" s="313" t="s">
        <v>723</v>
      </c>
      <c r="E252" s="314">
        <v>0.4583333333333333</v>
      </c>
      <c r="F252" s="319" t="s">
        <v>726</v>
      </c>
      <c r="G252" s="334" t="s">
        <v>483</v>
      </c>
      <c r="H252" s="315" t="s">
        <v>724</v>
      </c>
      <c r="I252" s="312" t="s">
        <v>22</v>
      </c>
      <c r="J252" s="312">
        <v>7.9895917E7</v>
      </c>
      <c r="K252" s="312">
        <v>3.152945156E9</v>
      </c>
      <c r="L252" s="320"/>
      <c r="M252" s="321" t="s">
        <v>24</v>
      </c>
      <c r="N252" s="317" t="s">
        <v>725</v>
      </c>
      <c r="O252" s="316" t="s">
        <v>92</v>
      </c>
      <c r="P252" s="10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</row>
    <row r="253" ht="18.0" customHeight="1">
      <c r="A253" s="5" t="s">
        <v>16</v>
      </c>
      <c r="B253" s="318">
        <v>150000.0</v>
      </c>
      <c r="C253" s="312" t="s">
        <v>285</v>
      </c>
      <c r="D253" s="313">
        <v>46039.0</v>
      </c>
      <c r="E253" s="314">
        <v>0.4583333333333333</v>
      </c>
      <c r="F253" s="319" t="s">
        <v>262</v>
      </c>
      <c r="G253" s="334" t="s">
        <v>20</v>
      </c>
      <c r="H253" s="315" t="s">
        <v>727</v>
      </c>
      <c r="I253" s="312" t="s">
        <v>22</v>
      </c>
      <c r="J253" s="312">
        <v>1.03058422E9</v>
      </c>
      <c r="K253" s="312">
        <v>3.132462583E9</v>
      </c>
      <c r="L253" s="320"/>
      <c r="M253" s="321" t="s">
        <v>710</v>
      </c>
      <c r="N253" s="317" t="s">
        <v>728</v>
      </c>
      <c r="O253" s="316" t="s">
        <v>92</v>
      </c>
      <c r="P253" s="10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</row>
    <row r="254" ht="18.0" customHeight="1">
      <c r="A254" s="5" t="s">
        <v>16</v>
      </c>
      <c r="B254" s="318">
        <v>230000.0</v>
      </c>
      <c r="C254" s="312" t="s">
        <v>285</v>
      </c>
      <c r="D254" s="313">
        <v>46039.0</v>
      </c>
      <c r="E254" s="314">
        <v>0.4583333333333333</v>
      </c>
      <c r="F254" s="319" t="s">
        <v>729</v>
      </c>
      <c r="G254" s="319" t="s">
        <v>483</v>
      </c>
      <c r="H254" s="315" t="s">
        <v>727</v>
      </c>
      <c r="I254" s="312" t="s">
        <v>22</v>
      </c>
      <c r="J254" s="312">
        <v>1.03058422E9</v>
      </c>
      <c r="K254" s="312">
        <v>3.132462583E9</v>
      </c>
      <c r="L254" s="320"/>
      <c r="M254" s="321" t="s">
        <v>710</v>
      </c>
      <c r="N254" s="317" t="s">
        <v>728</v>
      </c>
      <c r="O254" s="316" t="s">
        <v>92</v>
      </c>
      <c r="P254" s="10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</row>
    <row r="255" ht="18.0" customHeight="1">
      <c r="A255" s="5" t="s">
        <v>16</v>
      </c>
      <c r="B255" s="106"/>
      <c r="C255" s="312" t="s">
        <v>285</v>
      </c>
      <c r="D255" s="313">
        <v>46039.0</v>
      </c>
      <c r="E255" s="314">
        <v>0.4791666666666667</v>
      </c>
      <c r="F255" s="315" t="s">
        <v>475</v>
      </c>
      <c r="G255" s="312" t="s">
        <v>56</v>
      </c>
      <c r="H255" s="315" t="s">
        <v>606</v>
      </c>
      <c r="I255" s="312" t="s">
        <v>22</v>
      </c>
      <c r="J255" s="312">
        <v>5.2984831E7</v>
      </c>
      <c r="K255" s="312">
        <v>3.114721654E9</v>
      </c>
      <c r="L255" s="316"/>
      <c r="M255" s="317" t="s">
        <v>24</v>
      </c>
      <c r="N255" s="317" t="s">
        <v>730</v>
      </c>
      <c r="O255" s="316" t="s">
        <v>377</v>
      </c>
      <c r="P255" s="10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</row>
    <row r="256" ht="18.0" customHeight="1">
      <c r="A256" s="5" t="s">
        <v>16</v>
      </c>
      <c r="B256" s="106"/>
      <c r="C256" s="312" t="s">
        <v>285</v>
      </c>
      <c r="D256" s="313">
        <v>46039.0</v>
      </c>
      <c r="E256" s="314">
        <v>0.4791666666666667</v>
      </c>
      <c r="F256" s="315" t="s">
        <v>605</v>
      </c>
      <c r="G256" s="312" t="s">
        <v>56</v>
      </c>
      <c r="H256" s="315" t="s">
        <v>606</v>
      </c>
      <c r="I256" s="312" t="s">
        <v>22</v>
      </c>
      <c r="J256" s="312">
        <v>5.2984831E7</v>
      </c>
      <c r="K256" s="312">
        <v>3.114721654E9</v>
      </c>
      <c r="L256" s="316"/>
      <c r="M256" s="317" t="s">
        <v>24</v>
      </c>
      <c r="N256" s="317" t="s">
        <v>730</v>
      </c>
      <c r="O256" s="316" t="s">
        <v>377</v>
      </c>
      <c r="P256" s="10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</row>
    <row r="257" ht="18.0" customHeight="1">
      <c r="A257" s="5" t="s">
        <v>16</v>
      </c>
      <c r="B257" s="106"/>
      <c r="C257" s="312" t="s">
        <v>285</v>
      </c>
      <c r="D257" s="313">
        <v>46039.0</v>
      </c>
      <c r="E257" s="314">
        <v>0.4791666666666667</v>
      </c>
      <c r="F257" s="315" t="s">
        <v>366</v>
      </c>
      <c r="G257" s="312" t="s">
        <v>56</v>
      </c>
      <c r="H257" s="315" t="s">
        <v>606</v>
      </c>
      <c r="I257" s="312" t="s">
        <v>22</v>
      </c>
      <c r="J257" s="312">
        <v>5.2984831E7</v>
      </c>
      <c r="K257" s="312">
        <v>3.114721654E9</v>
      </c>
      <c r="L257" s="316"/>
      <c r="M257" s="317" t="s">
        <v>24</v>
      </c>
      <c r="N257" s="317" t="s">
        <v>730</v>
      </c>
      <c r="O257" s="316" t="s">
        <v>377</v>
      </c>
      <c r="P257" s="10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</row>
    <row r="258" ht="18.0" customHeight="1">
      <c r="A258" s="5" t="s">
        <v>16</v>
      </c>
      <c r="B258" s="106"/>
      <c r="C258" s="304" t="s">
        <v>285</v>
      </c>
      <c r="D258" s="305">
        <v>46039.0</v>
      </c>
      <c r="E258" s="306">
        <v>0.4791666666666667</v>
      </c>
      <c r="F258" s="307" t="s">
        <v>262</v>
      </c>
      <c r="G258" s="304" t="s">
        <v>20</v>
      </c>
      <c r="H258" s="307" t="s">
        <v>731</v>
      </c>
      <c r="I258" s="304" t="s">
        <v>22</v>
      </c>
      <c r="J258" s="304">
        <v>7.1982216E7</v>
      </c>
      <c r="K258" s="304">
        <v>3.103096071E9</v>
      </c>
      <c r="L258" s="339" t="s">
        <v>622</v>
      </c>
      <c r="M258" s="308" t="s">
        <v>30</v>
      </c>
      <c r="N258" s="322"/>
      <c r="O258" s="310" t="s">
        <v>31</v>
      </c>
      <c r="P258" s="10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</row>
    <row r="259" ht="18.0" customHeight="1">
      <c r="A259" s="5" t="s">
        <v>16</v>
      </c>
      <c r="B259" s="106"/>
      <c r="C259" s="304" t="s">
        <v>285</v>
      </c>
      <c r="D259" s="305">
        <v>46039.0</v>
      </c>
      <c r="E259" s="306">
        <v>0.4791666666666667</v>
      </c>
      <c r="F259" s="307" t="s">
        <v>732</v>
      </c>
      <c r="G259" s="304" t="s">
        <v>72</v>
      </c>
      <c r="H259" s="307" t="s">
        <v>733</v>
      </c>
      <c r="I259" s="304" t="s">
        <v>22</v>
      </c>
      <c r="J259" s="304" t="s">
        <v>734</v>
      </c>
      <c r="K259" s="304">
        <v>3.022695602E9</v>
      </c>
      <c r="L259" s="340" t="s">
        <v>735</v>
      </c>
      <c r="M259" s="308" t="s">
        <v>43</v>
      </c>
      <c r="N259" s="322"/>
      <c r="O259" s="310" t="s">
        <v>92</v>
      </c>
      <c r="P259" s="10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</row>
    <row r="260" ht="18.0" customHeight="1">
      <c r="A260" s="5" t="s">
        <v>16</v>
      </c>
      <c r="B260" s="318">
        <v>230000.0</v>
      </c>
      <c r="C260" s="312" t="s">
        <v>285</v>
      </c>
      <c r="D260" s="313">
        <v>46039.0</v>
      </c>
      <c r="E260" s="314" t="s">
        <v>400</v>
      </c>
      <c r="F260" s="319" t="s">
        <v>736</v>
      </c>
      <c r="G260" s="334" t="s">
        <v>483</v>
      </c>
      <c r="H260" s="315" t="s">
        <v>591</v>
      </c>
      <c r="I260" s="312" t="s">
        <v>22</v>
      </c>
      <c r="J260" s="312">
        <v>2.0586925E7</v>
      </c>
      <c r="K260" s="312">
        <v>3.194518567E9</v>
      </c>
      <c r="L260" s="320"/>
      <c r="M260" s="321" t="s">
        <v>710</v>
      </c>
      <c r="N260" s="317" t="s">
        <v>737</v>
      </c>
      <c r="O260" s="316" t="s">
        <v>82</v>
      </c>
      <c r="P260" s="10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</row>
    <row r="261" ht="18.0" customHeight="1">
      <c r="A261" s="5" t="s">
        <v>16</v>
      </c>
      <c r="B261" s="318">
        <v>440000.0</v>
      </c>
      <c r="C261" s="312" t="s">
        <v>285</v>
      </c>
      <c r="D261" s="313">
        <v>46039.0</v>
      </c>
      <c r="E261" s="314" t="s">
        <v>400</v>
      </c>
      <c r="F261" s="319" t="s">
        <v>475</v>
      </c>
      <c r="G261" s="334" t="s">
        <v>72</v>
      </c>
      <c r="H261" s="315" t="s">
        <v>591</v>
      </c>
      <c r="I261" s="312" t="s">
        <v>22</v>
      </c>
      <c r="J261" s="312">
        <v>2.0586925E7</v>
      </c>
      <c r="K261" s="312">
        <v>3.194518567E9</v>
      </c>
      <c r="L261" s="320"/>
      <c r="M261" s="321" t="s">
        <v>710</v>
      </c>
      <c r="N261" s="317" t="s">
        <v>737</v>
      </c>
      <c r="O261" s="316" t="s">
        <v>82</v>
      </c>
      <c r="P261" s="10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</row>
    <row r="262" ht="18.0" customHeight="1">
      <c r="A262" s="5" t="s">
        <v>16</v>
      </c>
      <c r="B262" s="318">
        <v>760000.0</v>
      </c>
      <c r="C262" s="312" t="s">
        <v>285</v>
      </c>
      <c r="D262" s="313">
        <v>46039.0</v>
      </c>
      <c r="E262" s="314" t="s">
        <v>400</v>
      </c>
      <c r="F262" s="319" t="s">
        <v>738</v>
      </c>
      <c r="G262" s="334" t="s">
        <v>72</v>
      </c>
      <c r="H262" s="315" t="s">
        <v>591</v>
      </c>
      <c r="I262" s="312" t="s">
        <v>22</v>
      </c>
      <c r="J262" s="312">
        <v>2.0586925E7</v>
      </c>
      <c r="K262" s="312">
        <v>3.194518567E9</v>
      </c>
      <c r="L262" s="320"/>
      <c r="M262" s="321" t="s">
        <v>710</v>
      </c>
      <c r="N262" s="317" t="s">
        <v>737</v>
      </c>
      <c r="O262" s="316" t="s">
        <v>82</v>
      </c>
      <c r="P262" s="10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</row>
    <row r="263" ht="18.0" customHeight="1">
      <c r="A263" s="5" t="s">
        <v>16</v>
      </c>
      <c r="B263" s="106"/>
      <c r="C263" s="304" t="s">
        <v>722</v>
      </c>
      <c r="D263" s="305">
        <v>46039.0</v>
      </c>
      <c r="E263" s="306" t="s">
        <v>400</v>
      </c>
      <c r="F263" s="307" t="s">
        <v>79</v>
      </c>
      <c r="G263" s="304" t="s">
        <v>72</v>
      </c>
      <c r="H263" s="307" t="s">
        <v>739</v>
      </c>
      <c r="I263" s="304" t="s">
        <v>22</v>
      </c>
      <c r="J263" s="304">
        <v>6805758.0</v>
      </c>
      <c r="K263" s="304">
        <v>3.13892288E9</v>
      </c>
      <c r="L263" s="340"/>
      <c r="M263" s="308" t="s">
        <v>24</v>
      </c>
      <c r="N263" s="322"/>
      <c r="O263" s="310" t="s">
        <v>92</v>
      </c>
      <c r="P263" s="10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</row>
    <row r="264" ht="18.0" customHeight="1">
      <c r="A264" s="13"/>
      <c r="B264" s="106"/>
      <c r="C264" s="13"/>
      <c r="D264" s="11"/>
      <c r="E264" s="341"/>
      <c r="F264" s="10"/>
      <c r="G264" s="13"/>
      <c r="H264" s="10"/>
      <c r="I264" s="13"/>
      <c r="J264" s="13"/>
      <c r="K264" s="13"/>
      <c r="L264" s="229"/>
      <c r="M264" s="230"/>
      <c r="N264" s="230"/>
      <c r="O264" s="229"/>
      <c r="P264" s="10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</row>
    <row r="265" ht="18.0" customHeight="1">
      <c r="A265" s="5" t="s">
        <v>16</v>
      </c>
      <c r="B265" s="106"/>
      <c r="C265" s="304" t="s">
        <v>100</v>
      </c>
      <c r="D265" s="305">
        <v>46041.0</v>
      </c>
      <c r="E265" s="306">
        <v>0.3541666666666667</v>
      </c>
      <c r="F265" s="307" t="s">
        <v>475</v>
      </c>
      <c r="G265" s="304" t="s">
        <v>97</v>
      </c>
      <c r="H265" s="307" t="s">
        <v>476</v>
      </c>
      <c r="I265" s="304" t="s">
        <v>22</v>
      </c>
      <c r="J265" s="304">
        <v>3.9640509E7</v>
      </c>
      <c r="K265" s="304">
        <v>3.106669201E9</v>
      </c>
      <c r="L265" s="340" t="s">
        <v>740</v>
      </c>
      <c r="M265" s="322" t="s">
        <v>43</v>
      </c>
      <c r="N265" s="322"/>
      <c r="O265" s="310" t="s">
        <v>31</v>
      </c>
      <c r="P265" s="10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</row>
    <row r="266" ht="18.0" customHeight="1">
      <c r="A266" s="5" t="s">
        <v>16</v>
      </c>
      <c r="B266" s="106"/>
      <c r="C266" s="304" t="s">
        <v>100</v>
      </c>
      <c r="D266" s="305">
        <v>46041.0</v>
      </c>
      <c r="E266" s="306">
        <v>0.3541666666666667</v>
      </c>
      <c r="F266" s="307" t="s">
        <v>478</v>
      </c>
      <c r="G266" s="304" t="s">
        <v>97</v>
      </c>
      <c r="H266" s="307" t="s">
        <v>476</v>
      </c>
      <c r="I266" s="304" t="s">
        <v>22</v>
      </c>
      <c r="J266" s="304">
        <v>3.9640509E7</v>
      </c>
      <c r="K266" s="304">
        <v>3.106669201E9</v>
      </c>
      <c r="L266" s="340"/>
      <c r="M266" s="322" t="s">
        <v>43</v>
      </c>
      <c r="N266" s="322"/>
      <c r="O266" s="310" t="s">
        <v>31</v>
      </c>
      <c r="P266" s="10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</row>
    <row r="267" ht="18.0" customHeight="1">
      <c r="A267" s="5" t="s">
        <v>16</v>
      </c>
      <c r="B267" s="106"/>
      <c r="C267" s="304" t="s">
        <v>100</v>
      </c>
      <c r="D267" s="305">
        <v>46041.0</v>
      </c>
      <c r="E267" s="306">
        <v>0.375</v>
      </c>
      <c r="F267" s="307" t="s">
        <v>469</v>
      </c>
      <c r="G267" s="304" t="s">
        <v>48</v>
      </c>
      <c r="H267" s="307" t="s">
        <v>741</v>
      </c>
      <c r="I267" s="304" t="s">
        <v>22</v>
      </c>
      <c r="J267" s="304">
        <v>1.024552959E9</v>
      </c>
      <c r="K267" s="304">
        <v>3.20995014E9</v>
      </c>
      <c r="L267" s="340" t="s">
        <v>740</v>
      </c>
      <c r="M267" s="322" t="s">
        <v>43</v>
      </c>
      <c r="N267" s="322"/>
      <c r="O267" s="310" t="s">
        <v>31</v>
      </c>
      <c r="P267" s="10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</row>
    <row r="268" ht="18.0" customHeight="1">
      <c r="A268" s="5" t="s">
        <v>16</v>
      </c>
      <c r="B268" s="106"/>
      <c r="C268" s="304" t="s">
        <v>100</v>
      </c>
      <c r="D268" s="305">
        <v>46041.0</v>
      </c>
      <c r="E268" s="306">
        <v>0.375</v>
      </c>
      <c r="F268" s="307" t="s">
        <v>475</v>
      </c>
      <c r="G268" s="304" t="s">
        <v>48</v>
      </c>
      <c r="H268" s="307" t="s">
        <v>741</v>
      </c>
      <c r="I268" s="304" t="s">
        <v>22</v>
      </c>
      <c r="J268" s="304">
        <v>1.024552959E9</v>
      </c>
      <c r="K268" s="304">
        <v>3.20995014E9</v>
      </c>
      <c r="L268" s="340"/>
      <c r="M268" s="322" t="s">
        <v>43</v>
      </c>
      <c r="N268" s="322"/>
      <c r="O268" s="310" t="s">
        <v>31</v>
      </c>
      <c r="P268" s="10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</row>
    <row r="269" ht="18.0" customHeight="1">
      <c r="A269" s="5" t="s">
        <v>16</v>
      </c>
      <c r="B269" s="106"/>
      <c r="C269" s="304" t="s">
        <v>100</v>
      </c>
      <c r="D269" s="305">
        <v>46041.0</v>
      </c>
      <c r="E269" s="306">
        <v>0.4166666666666667</v>
      </c>
      <c r="F269" s="307" t="s">
        <v>55</v>
      </c>
      <c r="G269" s="304" t="s">
        <v>63</v>
      </c>
      <c r="H269" s="307" t="s">
        <v>433</v>
      </c>
      <c r="I269" s="304" t="s">
        <v>22</v>
      </c>
      <c r="J269" s="304">
        <v>2990838.0</v>
      </c>
      <c r="K269" s="304">
        <v>3.2048440019E10</v>
      </c>
      <c r="L269" s="340" t="s">
        <v>740</v>
      </c>
      <c r="M269" s="322" t="s">
        <v>43</v>
      </c>
      <c r="N269" s="322"/>
      <c r="O269" s="310" t="s">
        <v>82</v>
      </c>
      <c r="P269" s="10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</row>
    <row r="270" ht="18.0" customHeight="1">
      <c r="A270" s="5" t="s">
        <v>16</v>
      </c>
      <c r="B270" s="318">
        <v>550000.0</v>
      </c>
      <c r="C270" s="312" t="s">
        <v>100</v>
      </c>
      <c r="D270" s="313">
        <v>46041.0</v>
      </c>
      <c r="E270" s="314">
        <v>0.4166666666666667</v>
      </c>
      <c r="F270" s="319" t="s">
        <v>378</v>
      </c>
      <c r="G270" s="334" t="s">
        <v>72</v>
      </c>
      <c r="H270" s="315" t="s">
        <v>742</v>
      </c>
      <c r="I270" s="312" t="s">
        <v>22</v>
      </c>
      <c r="J270" s="312">
        <v>3.9799037E7</v>
      </c>
      <c r="K270" s="312">
        <v>3.138683253E9</v>
      </c>
      <c r="L270" s="320"/>
      <c r="M270" s="321" t="s">
        <v>24</v>
      </c>
      <c r="N270" s="317" t="s">
        <v>743</v>
      </c>
      <c r="O270" s="316" t="s">
        <v>220</v>
      </c>
      <c r="P270" s="10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</row>
    <row r="271" ht="18.0" customHeight="1">
      <c r="A271" s="5" t="s">
        <v>16</v>
      </c>
      <c r="B271" s="318">
        <v>550000.0</v>
      </c>
      <c r="C271" s="312" t="s">
        <v>100</v>
      </c>
      <c r="D271" s="313">
        <v>46041.0</v>
      </c>
      <c r="E271" s="334" t="s">
        <v>744</v>
      </c>
      <c r="F271" s="319" t="s">
        <v>745</v>
      </c>
      <c r="G271" s="334" t="s">
        <v>746</v>
      </c>
      <c r="H271" s="315" t="s">
        <v>747</v>
      </c>
      <c r="I271" s="312" t="s">
        <v>22</v>
      </c>
      <c r="J271" s="312">
        <v>6758046.0</v>
      </c>
      <c r="K271" s="312">
        <v>3.156327706E9</v>
      </c>
      <c r="L271" s="320"/>
      <c r="M271" s="321" t="s">
        <v>24</v>
      </c>
      <c r="N271" s="317" t="s">
        <v>748</v>
      </c>
      <c r="O271" s="316" t="s">
        <v>749</v>
      </c>
      <c r="P271" s="10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</row>
    <row r="272" ht="18.0" customHeight="1">
      <c r="A272" s="5" t="s">
        <v>16</v>
      </c>
      <c r="B272" s="318">
        <v>150000.0</v>
      </c>
      <c r="C272" s="312" t="s">
        <v>100</v>
      </c>
      <c r="D272" s="313">
        <v>46041.0</v>
      </c>
      <c r="E272" s="334" t="s">
        <v>750</v>
      </c>
      <c r="F272" s="319" t="s">
        <v>262</v>
      </c>
      <c r="G272" s="334" t="s">
        <v>20</v>
      </c>
      <c r="H272" s="315" t="s">
        <v>751</v>
      </c>
      <c r="I272" s="312" t="s">
        <v>22</v>
      </c>
      <c r="J272" s="312">
        <v>1.489644E7</v>
      </c>
      <c r="K272" s="312">
        <v>3.167020987E9</v>
      </c>
      <c r="L272" s="320"/>
      <c r="M272" s="321" t="s">
        <v>24</v>
      </c>
      <c r="N272" s="317" t="s">
        <v>752</v>
      </c>
      <c r="O272" s="316" t="s">
        <v>31</v>
      </c>
      <c r="P272" s="10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</row>
    <row r="273" ht="18.0" customHeight="1">
      <c r="A273" s="5" t="s">
        <v>16</v>
      </c>
      <c r="B273" s="318">
        <v>440000.0</v>
      </c>
      <c r="C273" s="312" t="s">
        <v>100</v>
      </c>
      <c r="D273" s="313">
        <v>46041.0</v>
      </c>
      <c r="E273" s="334" t="s">
        <v>750</v>
      </c>
      <c r="F273" s="319" t="s">
        <v>475</v>
      </c>
      <c r="G273" s="334" t="s">
        <v>72</v>
      </c>
      <c r="H273" s="315" t="s">
        <v>751</v>
      </c>
      <c r="I273" s="312" t="s">
        <v>22</v>
      </c>
      <c r="J273" s="312">
        <v>1.489644E7</v>
      </c>
      <c r="K273" s="312">
        <v>3.167020987E9</v>
      </c>
      <c r="L273" s="320"/>
      <c r="M273" s="321" t="s">
        <v>24</v>
      </c>
      <c r="N273" s="317" t="s">
        <v>752</v>
      </c>
      <c r="O273" s="316" t="s">
        <v>31</v>
      </c>
      <c r="P273" s="10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</row>
    <row r="274" ht="18.0" customHeight="1">
      <c r="A274" s="5" t="s">
        <v>16</v>
      </c>
      <c r="B274" s="318">
        <v>550000.0</v>
      </c>
      <c r="C274" s="312" t="s">
        <v>100</v>
      </c>
      <c r="D274" s="313">
        <v>46041.0</v>
      </c>
      <c r="E274" s="334" t="s">
        <v>750</v>
      </c>
      <c r="F274" s="319" t="s">
        <v>753</v>
      </c>
      <c r="G274" s="334" t="s">
        <v>72</v>
      </c>
      <c r="H274" s="315" t="s">
        <v>751</v>
      </c>
      <c r="I274" s="312" t="s">
        <v>22</v>
      </c>
      <c r="J274" s="312">
        <v>1.489644E7</v>
      </c>
      <c r="K274" s="312">
        <v>3.167020987E9</v>
      </c>
      <c r="L274" s="320"/>
      <c r="M274" s="321" t="s">
        <v>24</v>
      </c>
      <c r="N274" s="317" t="s">
        <v>752</v>
      </c>
      <c r="O274" s="316" t="s">
        <v>31</v>
      </c>
      <c r="P274" s="10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</row>
    <row r="275" ht="18.0" customHeight="1">
      <c r="A275" s="5" t="s">
        <v>16</v>
      </c>
      <c r="B275" s="106"/>
      <c r="C275" s="304" t="s">
        <v>100</v>
      </c>
      <c r="D275" s="305">
        <v>46041.0</v>
      </c>
      <c r="E275" s="306">
        <v>0.5833333333333334</v>
      </c>
      <c r="F275" s="307" t="s">
        <v>262</v>
      </c>
      <c r="G275" s="304" t="s">
        <v>20</v>
      </c>
      <c r="H275" s="342" t="s">
        <v>121</v>
      </c>
      <c r="I275" s="304" t="s">
        <v>22</v>
      </c>
      <c r="J275" s="304">
        <v>1.120865536E9</v>
      </c>
      <c r="K275" s="304">
        <v>3.102445319E9</v>
      </c>
      <c r="L275" s="339" t="s">
        <v>754</v>
      </c>
      <c r="M275" s="322" t="s">
        <v>43</v>
      </c>
      <c r="N275" s="322"/>
      <c r="O275" s="310" t="s">
        <v>82</v>
      </c>
      <c r="P275" s="10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</row>
    <row r="276" ht="18.0" customHeight="1">
      <c r="A276" s="5" t="s">
        <v>16</v>
      </c>
      <c r="B276" s="106"/>
      <c r="C276" s="312" t="s">
        <v>100</v>
      </c>
      <c r="D276" s="313">
        <v>46041.0</v>
      </c>
      <c r="E276" s="314">
        <v>0.5833333333333334</v>
      </c>
      <c r="F276" s="315" t="s">
        <v>55</v>
      </c>
      <c r="G276" s="312" t="s">
        <v>63</v>
      </c>
      <c r="H276" s="315" t="s">
        <v>419</v>
      </c>
      <c r="I276" s="312" t="s">
        <v>22</v>
      </c>
      <c r="J276" s="312">
        <v>1.030559123E9</v>
      </c>
      <c r="K276" s="312">
        <v>3.105889136E9</v>
      </c>
      <c r="L276" s="316"/>
      <c r="M276" s="321" t="s">
        <v>24</v>
      </c>
      <c r="N276" s="317" t="s">
        <v>755</v>
      </c>
      <c r="O276" s="316" t="s">
        <v>82</v>
      </c>
      <c r="P276" s="10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</row>
    <row r="277" ht="18.0" customHeight="1">
      <c r="A277" s="5" t="s">
        <v>16</v>
      </c>
      <c r="B277" s="106"/>
      <c r="C277" s="312" t="s">
        <v>100</v>
      </c>
      <c r="D277" s="313">
        <v>46041.0</v>
      </c>
      <c r="E277" s="314">
        <v>0.5833333333333334</v>
      </c>
      <c r="F277" s="315" t="s">
        <v>508</v>
      </c>
      <c r="G277" s="312" t="s">
        <v>97</v>
      </c>
      <c r="H277" s="315" t="s">
        <v>419</v>
      </c>
      <c r="I277" s="312" t="s">
        <v>22</v>
      </c>
      <c r="J277" s="312">
        <v>1.030559123E9</v>
      </c>
      <c r="K277" s="312">
        <v>3.105889136E9</v>
      </c>
      <c r="L277" s="316"/>
      <c r="M277" s="321" t="s">
        <v>24</v>
      </c>
      <c r="N277" s="317" t="s">
        <v>755</v>
      </c>
      <c r="O277" s="316" t="s">
        <v>82</v>
      </c>
      <c r="P277" s="10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</row>
    <row r="278" ht="18.0" customHeight="1">
      <c r="A278" s="5" t="s">
        <v>16</v>
      </c>
      <c r="B278" s="106"/>
      <c r="C278" s="312" t="s">
        <v>100</v>
      </c>
      <c r="D278" s="313">
        <v>46041.0</v>
      </c>
      <c r="E278" s="314">
        <v>0.5833333333333334</v>
      </c>
      <c r="F278" s="315" t="s">
        <v>55</v>
      </c>
      <c r="G278" s="312" t="s">
        <v>97</v>
      </c>
      <c r="H278" s="315" t="s">
        <v>431</v>
      </c>
      <c r="I278" s="312" t="s">
        <v>22</v>
      </c>
      <c r="J278" s="312">
        <v>8.010026E7</v>
      </c>
      <c r="K278" s="312">
        <v>3.013816242E9</v>
      </c>
      <c r="L278" s="316"/>
      <c r="M278" s="321" t="s">
        <v>24</v>
      </c>
      <c r="N278" s="317" t="s">
        <v>756</v>
      </c>
      <c r="O278" s="316" t="s">
        <v>31</v>
      </c>
      <c r="P278" s="10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</row>
    <row r="279" ht="18.0" customHeight="1">
      <c r="A279" s="5" t="s">
        <v>16</v>
      </c>
      <c r="B279" s="318">
        <v>220000.0</v>
      </c>
      <c r="C279" s="312" t="s">
        <v>100</v>
      </c>
      <c r="D279" s="313">
        <v>46041.0</v>
      </c>
      <c r="E279" s="314">
        <v>0.5833333333333334</v>
      </c>
      <c r="F279" s="315" t="s">
        <v>475</v>
      </c>
      <c r="G279" s="312" t="s">
        <v>97</v>
      </c>
      <c r="H279" s="315" t="s">
        <v>757</v>
      </c>
      <c r="I279" s="312" t="s">
        <v>22</v>
      </c>
      <c r="J279" s="312">
        <v>9.3152188E7</v>
      </c>
      <c r="K279" s="312">
        <v>3.132564594E9</v>
      </c>
      <c r="L279" s="316"/>
      <c r="M279" s="321" t="s">
        <v>24</v>
      </c>
      <c r="N279" s="317" t="s">
        <v>758</v>
      </c>
      <c r="O279" s="316" t="s">
        <v>640</v>
      </c>
      <c r="P279" s="10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</row>
    <row r="280" ht="18.0" customHeight="1">
      <c r="A280" s="5" t="s">
        <v>16</v>
      </c>
      <c r="B280" s="318">
        <v>380000.0</v>
      </c>
      <c r="C280" s="312" t="s">
        <v>100</v>
      </c>
      <c r="D280" s="313">
        <v>46041.0</v>
      </c>
      <c r="E280" s="314">
        <v>0.5833333333333334</v>
      </c>
      <c r="F280" s="315" t="s">
        <v>642</v>
      </c>
      <c r="G280" s="312" t="s">
        <v>97</v>
      </c>
      <c r="H280" s="315" t="s">
        <v>757</v>
      </c>
      <c r="I280" s="312" t="s">
        <v>22</v>
      </c>
      <c r="J280" s="312">
        <v>9.3152188E7</v>
      </c>
      <c r="K280" s="312">
        <v>3.132564594E9</v>
      </c>
      <c r="L280" s="316"/>
      <c r="M280" s="321" t="s">
        <v>24</v>
      </c>
      <c r="N280" s="317" t="s">
        <v>758</v>
      </c>
      <c r="O280" s="316" t="s">
        <v>640</v>
      </c>
      <c r="P280" s="10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</row>
    <row r="281" ht="18.0" customHeight="1">
      <c r="A281" s="5" t="s">
        <v>16</v>
      </c>
      <c r="B281" s="318">
        <v>120000.0</v>
      </c>
      <c r="C281" s="312" t="s">
        <v>100</v>
      </c>
      <c r="D281" s="313">
        <v>46041.0</v>
      </c>
      <c r="E281" s="314">
        <v>0.5833333333333334</v>
      </c>
      <c r="F281" s="319" t="s">
        <v>759</v>
      </c>
      <c r="G281" s="334" t="s">
        <v>483</v>
      </c>
      <c r="H281" s="315" t="s">
        <v>757</v>
      </c>
      <c r="I281" s="312" t="s">
        <v>22</v>
      </c>
      <c r="J281" s="312">
        <v>9.3152188E7</v>
      </c>
      <c r="K281" s="312">
        <v>3.132564594E9</v>
      </c>
      <c r="L281" s="316"/>
      <c r="M281" s="321" t="s">
        <v>24</v>
      </c>
      <c r="N281" s="317" t="s">
        <v>760</v>
      </c>
      <c r="O281" s="316" t="s">
        <v>640</v>
      </c>
      <c r="P281" s="10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</row>
    <row r="282" ht="18.0" customHeight="1">
      <c r="A282" s="5" t="s">
        <v>16</v>
      </c>
      <c r="B282" s="106"/>
      <c r="C282" s="304" t="s">
        <v>100</v>
      </c>
      <c r="D282" s="305">
        <v>46041.0</v>
      </c>
      <c r="E282" s="306">
        <v>0.5833333333333334</v>
      </c>
      <c r="F282" s="307" t="s">
        <v>378</v>
      </c>
      <c r="G282" s="304" t="s">
        <v>72</v>
      </c>
      <c r="H282" s="342" t="s">
        <v>761</v>
      </c>
      <c r="I282" s="304" t="s">
        <v>22</v>
      </c>
      <c r="J282" s="304">
        <v>5.17741E7</v>
      </c>
      <c r="K282" s="304">
        <v>3.143243979E9</v>
      </c>
      <c r="L282" s="339" t="s">
        <v>762</v>
      </c>
      <c r="M282" s="322" t="s">
        <v>43</v>
      </c>
      <c r="N282" s="322"/>
      <c r="O282" s="310" t="s">
        <v>31</v>
      </c>
      <c r="P282" s="10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</row>
    <row r="283" ht="18.0" customHeight="1">
      <c r="A283" s="5" t="s">
        <v>16</v>
      </c>
      <c r="B283" s="106"/>
      <c r="C283" s="304" t="s">
        <v>100</v>
      </c>
      <c r="D283" s="305">
        <v>46041.0</v>
      </c>
      <c r="E283" s="306">
        <v>0.5833333333333334</v>
      </c>
      <c r="F283" s="307" t="s">
        <v>55</v>
      </c>
      <c r="G283" s="304" t="s">
        <v>72</v>
      </c>
      <c r="H283" s="307" t="s">
        <v>763</v>
      </c>
      <c r="I283" s="304" t="s">
        <v>22</v>
      </c>
      <c r="J283" s="304">
        <v>5.2515921E7</v>
      </c>
      <c r="K283" s="304">
        <v>3.045435592E9</v>
      </c>
      <c r="L283" s="339" t="s">
        <v>764</v>
      </c>
      <c r="M283" s="308" t="s">
        <v>43</v>
      </c>
      <c r="N283" s="322"/>
      <c r="O283" s="310" t="s">
        <v>31</v>
      </c>
      <c r="P283" s="10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</row>
    <row r="284" ht="18.0" customHeight="1">
      <c r="A284" s="13"/>
      <c r="B284" s="106"/>
      <c r="C284" s="13"/>
      <c r="D284" s="11"/>
      <c r="E284" s="13"/>
      <c r="F284" s="10"/>
      <c r="G284" s="13"/>
      <c r="H284" s="10"/>
      <c r="I284" s="13"/>
      <c r="J284" s="13"/>
      <c r="K284" s="13"/>
      <c r="L284" s="337"/>
      <c r="M284" s="338"/>
      <c r="N284" s="230"/>
      <c r="O284" s="337"/>
      <c r="P284" s="10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</row>
    <row r="285" ht="18.0" customHeight="1">
      <c r="A285" s="5" t="s">
        <v>16</v>
      </c>
      <c r="B285" s="106"/>
      <c r="C285" s="304" t="s">
        <v>141</v>
      </c>
      <c r="D285" s="305">
        <v>46042.0</v>
      </c>
      <c r="E285" s="306">
        <v>0.3333333333333333</v>
      </c>
      <c r="F285" s="307" t="s">
        <v>378</v>
      </c>
      <c r="G285" s="304" t="s">
        <v>63</v>
      </c>
      <c r="H285" s="307" t="s">
        <v>421</v>
      </c>
      <c r="I285" s="304" t="s">
        <v>22</v>
      </c>
      <c r="J285" s="304">
        <v>2.3359956E7</v>
      </c>
      <c r="K285" s="304">
        <v>3.002757965E9</v>
      </c>
      <c r="L285" s="310"/>
      <c r="M285" s="308" t="s">
        <v>43</v>
      </c>
      <c r="N285" s="322"/>
      <c r="O285" s="310" t="s">
        <v>377</v>
      </c>
      <c r="P285" s="10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</row>
    <row r="286" ht="18.0" customHeight="1">
      <c r="A286" s="5" t="s">
        <v>16</v>
      </c>
      <c r="B286" s="106"/>
      <c r="C286" s="304" t="s">
        <v>141</v>
      </c>
      <c r="D286" s="305">
        <v>46042.0</v>
      </c>
      <c r="E286" s="306">
        <v>0.3541666666666667</v>
      </c>
      <c r="F286" s="307" t="s">
        <v>475</v>
      </c>
      <c r="G286" s="304" t="s">
        <v>72</v>
      </c>
      <c r="H286" s="307" t="s">
        <v>765</v>
      </c>
      <c r="I286" s="304" t="s">
        <v>22</v>
      </c>
      <c r="J286" s="304">
        <v>1.015416924E9</v>
      </c>
      <c r="K286" s="304">
        <v>3.144740054E9</v>
      </c>
      <c r="L286" s="310"/>
      <c r="M286" s="322" t="s">
        <v>43</v>
      </c>
      <c r="N286" s="322"/>
      <c r="O286" s="310" t="s">
        <v>377</v>
      </c>
      <c r="P286" s="10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</row>
    <row r="287" ht="18.0" customHeight="1">
      <c r="A287" s="5" t="s">
        <v>16</v>
      </c>
      <c r="B287" s="106"/>
      <c r="C287" s="304" t="s">
        <v>141</v>
      </c>
      <c r="D287" s="305">
        <v>46042.0</v>
      </c>
      <c r="E287" s="306">
        <v>0.3541666666666667</v>
      </c>
      <c r="F287" s="307" t="s">
        <v>766</v>
      </c>
      <c r="G287" s="304" t="s">
        <v>72</v>
      </c>
      <c r="H287" s="307" t="s">
        <v>765</v>
      </c>
      <c r="I287" s="304" t="s">
        <v>22</v>
      </c>
      <c r="J287" s="304">
        <v>1.015416924E9</v>
      </c>
      <c r="K287" s="304">
        <v>3.144740054E9</v>
      </c>
      <c r="L287" s="310"/>
      <c r="M287" s="308" t="s">
        <v>43</v>
      </c>
      <c r="N287" s="322"/>
      <c r="O287" s="310" t="s">
        <v>377</v>
      </c>
      <c r="P287" s="10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</row>
    <row r="288" ht="18.0" customHeight="1">
      <c r="A288" s="5" t="s">
        <v>16</v>
      </c>
      <c r="B288" s="318">
        <v>260000.0</v>
      </c>
      <c r="C288" s="312" t="s">
        <v>141</v>
      </c>
      <c r="D288" s="313">
        <v>46042.0</v>
      </c>
      <c r="E288" s="314">
        <v>0.3541666666666667</v>
      </c>
      <c r="F288" s="319" t="s">
        <v>668</v>
      </c>
      <c r="G288" s="334" t="s">
        <v>63</v>
      </c>
      <c r="H288" s="315" t="s">
        <v>549</v>
      </c>
      <c r="I288" s="312" t="s">
        <v>22</v>
      </c>
      <c r="J288" s="312">
        <v>422302.0</v>
      </c>
      <c r="K288" s="312">
        <v>3.043454472E9</v>
      </c>
      <c r="L288" s="320"/>
      <c r="M288" s="321" t="s">
        <v>24</v>
      </c>
      <c r="N288" s="317" t="s">
        <v>767</v>
      </c>
      <c r="O288" s="316" t="s">
        <v>31</v>
      </c>
      <c r="P288" s="10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</row>
    <row r="289" ht="18.0" customHeight="1">
      <c r="A289" s="5" t="s">
        <v>16</v>
      </c>
      <c r="B289" s="106"/>
      <c r="C289" s="312" t="s">
        <v>141</v>
      </c>
      <c r="D289" s="313">
        <v>46042.0</v>
      </c>
      <c r="E289" s="314">
        <v>0.3541666666666667</v>
      </c>
      <c r="F289" s="315" t="s">
        <v>475</v>
      </c>
      <c r="G289" s="312" t="s">
        <v>63</v>
      </c>
      <c r="H289" s="315" t="s">
        <v>549</v>
      </c>
      <c r="I289" s="312" t="s">
        <v>22</v>
      </c>
      <c r="J289" s="312">
        <v>422302.0</v>
      </c>
      <c r="K289" s="312">
        <v>3.043454472E9</v>
      </c>
      <c r="L289" s="316"/>
      <c r="M289" s="321" t="s">
        <v>24</v>
      </c>
      <c r="N289" s="317" t="s">
        <v>767</v>
      </c>
      <c r="O289" s="316" t="s">
        <v>31</v>
      </c>
      <c r="P289" s="10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</row>
    <row r="290" ht="18.0" customHeight="1">
      <c r="A290" s="5" t="s">
        <v>16</v>
      </c>
      <c r="B290" s="106"/>
      <c r="C290" s="312" t="s">
        <v>141</v>
      </c>
      <c r="D290" s="313">
        <v>46042.0</v>
      </c>
      <c r="E290" s="314">
        <v>0.3541666666666667</v>
      </c>
      <c r="F290" s="315" t="s">
        <v>475</v>
      </c>
      <c r="G290" s="312" t="s">
        <v>97</v>
      </c>
      <c r="H290" s="315" t="s">
        <v>671</v>
      </c>
      <c r="I290" s="312" t="s">
        <v>22</v>
      </c>
      <c r="J290" s="312">
        <v>2.0743709E7</v>
      </c>
      <c r="K290" s="312">
        <v>3.15539648E9</v>
      </c>
      <c r="L290" s="316"/>
      <c r="M290" s="321" t="s">
        <v>24</v>
      </c>
      <c r="N290" s="317" t="s">
        <v>768</v>
      </c>
      <c r="O290" s="316" t="s">
        <v>31</v>
      </c>
      <c r="P290" s="10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</row>
    <row r="291" ht="18.0" customHeight="1">
      <c r="A291" s="5" t="s">
        <v>16</v>
      </c>
      <c r="B291" s="318">
        <v>300000.0</v>
      </c>
      <c r="C291" s="312" t="s">
        <v>141</v>
      </c>
      <c r="D291" s="313">
        <v>46042.0</v>
      </c>
      <c r="E291" s="314">
        <v>0.3541666666666667</v>
      </c>
      <c r="F291" s="319" t="s">
        <v>674</v>
      </c>
      <c r="G291" s="334" t="s">
        <v>97</v>
      </c>
      <c r="H291" s="315" t="s">
        <v>671</v>
      </c>
      <c r="I291" s="312" t="s">
        <v>22</v>
      </c>
      <c r="J291" s="312">
        <v>2.0743709E7</v>
      </c>
      <c r="K291" s="312">
        <v>3.15539648E9</v>
      </c>
      <c r="L291" s="316"/>
      <c r="M291" s="321" t="s">
        <v>24</v>
      </c>
      <c r="N291" s="317" t="s">
        <v>768</v>
      </c>
      <c r="O291" s="316" t="s">
        <v>31</v>
      </c>
      <c r="P291" s="10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</row>
    <row r="292" ht="18.0" customHeight="1">
      <c r="A292" s="5" t="s">
        <v>16</v>
      </c>
      <c r="B292" s="106"/>
      <c r="C292" s="312" t="s">
        <v>141</v>
      </c>
      <c r="D292" s="313">
        <v>46042.0</v>
      </c>
      <c r="E292" s="314">
        <v>0.375</v>
      </c>
      <c r="F292" s="315" t="s">
        <v>475</v>
      </c>
      <c r="G292" s="312" t="s">
        <v>97</v>
      </c>
      <c r="H292" s="315" t="s">
        <v>769</v>
      </c>
      <c r="I292" s="312" t="s">
        <v>22</v>
      </c>
      <c r="J292" s="312">
        <v>5.165945E7</v>
      </c>
      <c r="K292" s="312">
        <v>3.132525209E9</v>
      </c>
      <c r="L292" s="320" t="s">
        <v>770</v>
      </c>
      <c r="M292" s="321" t="s">
        <v>24</v>
      </c>
      <c r="N292" s="317" t="s">
        <v>771</v>
      </c>
      <c r="O292" s="316" t="s">
        <v>31</v>
      </c>
      <c r="P292" s="10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</row>
    <row r="293" ht="18.0" customHeight="1">
      <c r="A293" s="5" t="s">
        <v>16</v>
      </c>
      <c r="B293" s="318">
        <v>550000.0</v>
      </c>
      <c r="C293" s="312" t="s">
        <v>141</v>
      </c>
      <c r="D293" s="313">
        <v>46042.0</v>
      </c>
      <c r="E293" s="314">
        <v>0.375</v>
      </c>
      <c r="F293" s="315" t="s">
        <v>378</v>
      </c>
      <c r="G293" s="312" t="s">
        <v>72</v>
      </c>
      <c r="H293" s="315" t="s">
        <v>769</v>
      </c>
      <c r="I293" s="312" t="s">
        <v>22</v>
      </c>
      <c r="J293" s="312">
        <v>5.165945E7</v>
      </c>
      <c r="K293" s="312">
        <v>3.132525209E9</v>
      </c>
      <c r="L293" s="320"/>
      <c r="M293" s="321" t="s">
        <v>24</v>
      </c>
      <c r="N293" s="317" t="s">
        <v>772</v>
      </c>
      <c r="O293" s="316" t="s">
        <v>31</v>
      </c>
      <c r="P293" s="10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</row>
    <row r="294" ht="18.0" customHeight="1">
      <c r="A294" s="5" t="s">
        <v>16</v>
      </c>
      <c r="B294" s="106"/>
      <c r="C294" s="304" t="s">
        <v>141</v>
      </c>
      <c r="D294" s="305">
        <v>46042.0</v>
      </c>
      <c r="E294" s="306">
        <v>0.375</v>
      </c>
      <c r="F294" s="307" t="s">
        <v>55</v>
      </c>
      <c r="G294" s="304" t="s">
        <v>63</v>
      </c>
      <c r="H294" s="307" t="s">
        <v>375</v>
      </c>
      <c r="I294" s="304" t="s">
        <v>22</v>
      </c>
      <c r="J294" s="304">
        <v>5.1749476E7</v>
      </c>
      <c r="K294" s="304">
        <v>3.133890027E9</v>
      </c>
      <c r="L294" s="310"/>
      <c r="M294" s="308" t="s">
        <v>43</v>
      </c>
      <c r="N294" s="322"/>
      <c r="O294" s="310" t="s">
        <v>377</v>
      </c>
      <c r="P294" s="10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</row>
    <row r="295" ht="18.0" customHeight="1">
      <c r="A295" s="5" t="s">
        <v>16</v>
      </c>
      <c r="B295" s="106"/>
      <c r="C295" s="312" t="s">
        <v>141</v>
      </c>
      <c r="D295" s="313">
        <v>46042.0</v>
      </c>
      <c r="E295" s="314">
        <v>0.375</v>
      </c>
      <c r="F295" s="315" t="s">
        <v>475</v>
      </c>
      <c r="G295" s="334" t="s">
        <v>63</v>
      </c>
      <c r="H295" s="315" t="s">
        <v>476</v>
      </c>
      <c r="I295" s="312" t="s">
        <v>22</v>
      </c>
      <c r="J295" s="312">
        <v>3.9640509E7</v>
      </c>
      <c r="K295" s="312">
        <v>3.106669201E9</v>
      </c>
      <c r="L295" s="316"/>
      <c r="M295" s="321" t="s">
        <v>24</v>
      </c>
      <c r="N295" s="317" t="s">
        <v>773</v>
      </c>
      <c r="O295" s="316" t="s">
        <v>31</v>
      </c>
      <c r="P295" s="10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</row>
    <row r="296" ht="18.0" customHeight="1">
      <c r="A296" s="5" t="s">
        <v>16</v>
      </c>
      <c r="B296" s="106"/>
      <c r="C296" s="312" t="s">
        <v>141</v>
      </c>
      <c r="D296" s="313">
        <v>46042.0</v>
      </c>
      <c r="E296" s="314">
        <v>0.375</v>
      </c>
      <c r="F296" s="315" t="s">
        <v>478</v>
      </c>
      <c r="G296" s="334" t="s">
        <v>63</v>
      </c>
      <c r="H296" s="315" t="s">
        <v>476</v>
      </c>
      <c r="I296" s="312" t="s">
        <v>22</v>
      </c>
      <c r="J296" s="312">
        <v>3.9640509E7</v>
      </c>
      <c r="K296" s="312">
        <v>3.106669201E9</v>
      </c>
      <c r="L296" s="316"/>
      <c r="M296" s="321" t="s">
        <v>24</v>
      </c>
      <c r="N296" s="317" t="s">
        <v>773</v>
      </c>
      <c r="O296" s="316" t="s">
        <v>31</v>
      </c>
      <c r="P296" s="10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</row>
    <row r="297" ht="18.0" customHeight="1">
      <c r="A297" s="5" t="s">
        <v>16</v>
      </c>
      <c r="B297" s="106"/>
      <c r="C297" s="312" t="s">
        <v>141</v>
      </c>
      <c r="D297" s="313">
        <v>46042.0</v>
      </c>
      <c r="E297" s="314">
        <v>0.3958333333333333</v>
      </c>
      <c r="F297" s="315" t="s">
        <v>55</v>
      </c>
      <c r="G297" s="334" t="s">
        <v>63</v>
      </c>
      <c r="H297" s="315" t="s">
        <v>433</v>
      </c>
      <c r="I297" s="312" t="s">
        <v>22</v>
      </c>
      <c r="J297" s="312">
        <v>2990838.0</v>
      </c>
      <c r="K297" s="312">
        <v>3.2048440019E10</v>
      </c>
      <c r="L297" s="316"/>
      <c r="M297" s="317" t="s">
        <v>24</v>
      </c>
      <c r="N297" s="317" t="s">
        <v>774</v>
      </c>
      <c r="O297" s="316" t="s">
        <v>82</v>
      </c>
      <c r="P297" s="10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</row>
    <row r="298" ht="18.0" customHeight="1">
      <c r="A298" s="5" t="s">
        <v>16</v>
      </c>
      <c r="B298" s="318">
        <v>550000.0</v>
      </c>
      <c r="C298" s="312" t="s">
        <v>141</v>
      </c>
      <c r="D298" s="313">
        <v>46042.0</v>
      </c>
      <c r="E298" s="314">
        <v>0.3958333333333333</v>
      </c>
      <c r="F298" s="319" t="s">
        <v>378</v>
      </c>
      <c r="G298" s="334" t="s">
        <v>191</v>
      </c>
      <c r="H298" s="315" t="s">
        <v>775</v>
      </c>
      <c r="I298" s="312" t="s">
        <v>22</v>
      </c>
      <c r="J298" s="312">
        <v>4.1647472E7</v>
      </c>
      <c r="K298" s="312">
        <v>3.156743978E9</v>
      </c>
      <c r="L298" s="320"/>
      <c r="M298" s="321" t="s">
        <v>24</v>
      </c>
      <c r="N298" s="317" t="s">
        <v>776</v>
      </c>
      <c r="O298" s="316" t="s">
        <v>92</v>
      </c>
      <c r="P298" s="10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</row>
    <row r="299" ht="18.0" customHeight="1">
      <c r="A299" s="5" t="s">
        <v>16</v>
      </c>
      <c r="B299" s="106"/>
      <c r="C299" s="304" t="s">
        <v>141</v>
      </c>
      <c r="D299" s="305">
        <v>46042.0</v>
      </c>
      <c r="E299" s="306">
        <v>0.4166666666666667</v>
      </c>
      <c r="F299" s="307" t="s">
        <v>55</v>
      </c>
      <c r="G299" s="304" t="s">
        <v>72</v>
      </c>
      <c r="H299" s="307" t="s">
        <v>777</v>
      </c>
      <c r="I299" s="304" t="s">
        <v>22</v>
      </c>
      <c r="J299" s="304">
        <v>1.4252844E7</v>
      </c>
      <c r="K299" s="304">
        <v>3.143568245E9</v>
      </c>
      <c r="L299" s="339" t="s">
        <v>778</v>
      </c>
      <c r="M299" s="308" t="s">
        <v>43</v>
      </c>
      <c r="N299" s="322"/>
      <c r="O299" s="339" t="s">
        <v>220</v>
      </c>
      <c r="P299" s="10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</row>
    <row r="300" ht="18.0" customHeight="1">
      <c r="A300" s="5" t="s">
        <v>16</v>
      </c>
      <c r="B300" s="318">
        <v>220000.0</v>
      </c>
      <c r="C300" s="312" t="s">
        <v>141</v>
      </c>
      <c r="D300" s="313">
        <v>46042.0</v>
      </c>
      <c r="E300" s="314">
        <v>0.4166666666666667</v>
      </c>
      <c r="F300" s="315" t="s">
        <v>475</v>
      </c>
      <c r="G300" s="334" t="s">
        <v>97</v>
      </c>
      <c r="H300" s="315" t="s">
        <v>584</v>
      </c>
      <c r="I300" s="312" t="s">
        <v>22</v>
      </c>
      <c r="J300" s="312">
        <v>2.0959058E7</v>
      </c>
      <c r="K300" s="312">
        <v>3.215985591E9</v>
      </c>
      <c r="L300" s="320"/>
      <c r="M300" s="321" t="s">
        <v>24</v>
      </c>
      <c r="N300" s="317" t="s">
        <v>779</v>
      </c>
      <c r="O300" s="316" t="s">
        <v>31</v>
      </c>
      <c r="P300" s="10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</row>
    <row r="301" ht="18.0" customHeight="1">
      <c r="A301" s="5" t="s">
        <v>16</v>
      </c>
      <c r="B301" s="318">
        <v>370000.0</v>
      </c>
      <c r="C301" s="312" t="s">
        <v>141</v>
      </c>
      <c r="D301" s="313">
        <v>46042.0</v>
      </c>
      <c r="E301" s="314">
        <v>0.4166666666666667</v>
      </c>
      <c r="F301" s="315" t="s">
        <v>616</v>
      </c>
      <c r="G301" s="334" t="s">
        <v>97</v>
      </c>
      <c r="H301" s="315" t="s">
        <v>584</v>
      </c>
      <c r="I301" s="312" t="s">
        <v>22</v>
      </c>
      <c r="J301" s="312">
        <v>2.0959058E7</v>
      </c>
      <c r="K301" s="312">
        <v>3.215985591E9</v>
      </c>
      <c r="L301" s="316"/>
      <c r="M301" s="321" t="s">
        <v>24</v>
      </c>
      <c r="N301" s="317" t="s">
        <v>779</v>
      </c>
      <c r="O301" s="316" t="s">
        <v>31</v>
      </c>
      <c r="P301" s="10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</row>
    <row r="302" ht="18.0" customHeight="1">
      <c r="A302" s="5" t="s">
        <v>16</v>
      </c>
      <c r="B302" s="318">
        <v>130000.0</v>
      </c>
      <c r="C302" s="312" t="s">
        <v>141</v>
      </c>
      <c r="D302" s="313">
        <v>46042.0</v>
      </c>
      <c r="E302" s="314">
        <v>0.4166666666666667</v>
      </c>
      <c r="F302" s="319" t="s">
        <v>780</v>
      </c>
      <c r="G302" s="334" t="s">
        <v>483</v>
      </c>
      <c r="H302" s="315" t="s">
        <v>584</v>
      </c>
      <c r="I302" s="312" t="s">
        <v>22</v>
      </c>
      <c r="J302" s="312">
        <v>2.0959058E7</v>
      </c>
      <c r="K302" s="312">
        <v>3.215985591E9</v>
      </c>
      <c r="L302" s="320"/>
      <c r="M302" s="321" t="s">
        <v>24</v>
      </c>
      <c r="N302" s="317" t="s">
        <v>779</v>
      </c>
      <c r="O302" s="316" t="s">
        <v>31</v>
      </c>
      <c r="P302" s="10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</row>
    <row r="303" ht="18.0" customHeight="1">
      <c r="A303" s="5" t="s">
        <v>16</v>
      </c>
      <c r="B303" s="106"/>
      <c r="C303" s="312" t="s">
        <v>141</v>
      </c>
      <c r="D303" s="313">
        <v>46042.0</v>
      </c>
      <c r="E303" s="314">
        <v>0.4166666666666667</v>
      </c>
      <c r="F303" s="315" t="s">
        <v>475</v>
      </c>
      <c r="G303" s="334" t="s">
        <v>97</v>
      </c>
      <c r="H303" s="315" t="s">
        <v>577</v>
      </c>
      <c r="I303" s="312" t="s">
        <v>22</v>
      </c>
      <c r="J303" s="312">
        <v>1.1343645E7</v>
      </c>
      <c r="K303" s="312">
        <v>3.112309495E9</v>
      </c>
      <c r="L303" s="316"/>
      <c r="M303" s="321" t="s">
        <v>24</v>
      </c>
      <c r="N303" s="317" t="s">
        <v>781</v>
      </c>
      <c r="O303" s="316" t="s">
        <v>44</v>
      </c>
      <c r="P303" s="10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</row>
    <row r="304" ht="18.0" customHeight="1">
      <c r="A304" s="5" t="s">
        <v>16</v>
      </c>
      <c r="B304" s="106"/>
      <c r="C304" s="312" t="s">
        <v>141</v>
      </c>
      <c r="D304" s="313">
        <v>46042.0</v>
      </c>
      <c r="E304" s="314">
        <v>0.4166666666666667</v>
      </c>
      <c r="F304" s="315" t="s">
        <v>580</v>
      </c>
      <c r="G304" s="334" t="s">
        <v>97</v>
      </c>
      <c r="H304" s="315" t="s">
        <v>577</v>
      </c>
      <c r="I304" s="312" t="s">
        <v>22</v>
      </c>
      <c r="J304" s="312">
        <v>1.1343645E7</v>
      </c>
      <c r="K304" s="312">
        <v>3.112309495E9</v>
      </c>
      <c r="L304" s="320" t="s">
        <v>635</v>
      </c>
      <c r="M304" s="321" t="s">
        <v>24</v>
      </c>
      <c r="N304" s="317" t="s">
        <v>781</v>
      </c>
      <c r="O304" s="316" t="s">
        <v>44</v>
      </c>
      <c r="P304" s="10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</row>
    <row r="305" ht="18.0" customHeight="1">
      <c r="A305" s="5" t="s">
        <v>16</v>
      </c>
      <c r="B305" s="106"/>
      <c r="C305" s="312" t="s">
        <v>141</v>
      </c>
      <c r="D305" s="313">
        <v>46042.0</v>
      </c>
      <c r="E305" s="314">
        <v>0.4166666666666667</v>
      </c>
      <c r="F305" s="315" t="s">
        <v>675</v>
      </c>
      <c r="G305" s="334" t="s">
        <v>48</v>
      </c>
      <c r="H305" s="315" t="s">
        <v>491</v>
      </c>
      <c r="I305" s="312" t="s">
        <v>22</v>
      </c>
      <c r="J305" s="312">
        <v>3.9666937E7</v>
      </c>
      <c r="K305" s="312">
        <v>3.192871588E9</v>
      </c>
      <c r="L305" s="316"/>
      <c r="M305" s="317" t="s">
        <v>24</v>
      </c>
      <c r="N305" s="317" t="s">
        <v>782</v>
      </c>
      <c r="O305" s="316" t="s">
        <v>31</v>
      </c>
      <c r="P305" s="10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</row>
    <row r="306" ht="18.0" customHeight="1">
      <c r="A306" s="5" t="s">
        <v>16</v>
      </c>
      <c r="B306" s="106"/>
      <c r="C306" s="312" t="s">
        <v>141</v>
      </c>
      <c r="D306" s="313">
        <v>46042.0</v>
      </c>
      <c r="E306" s="314">
        <v>0.4166666666666667</v>
      </c>
      <c r="F306" s="315" t="s">
        <v>475</v>
      </c>
      <c r="G306" s="334" t="s">
        <v>48</v>
      </c>
      <c r="H306" s="315" t="s">
        <v>491</v>
      </c>
      <c r="I306" s="312" t="s">
        <v>22</v>
      </c>
      <c r="J306" s="312">
        <v>3.9666937E7</v>
      </c>
      <c r="K306" s="312">
        <v>3.192871588E9</v>
      </c>
      <c r="L306" s="320" t="s">
        <v>783</v>
      </c>
      <c r="M306" s="317" t="s">
        <v>24</v>
      </c>
      <c r="N306" s="317" t="s">
        <v>782</v>
      </c>
      <c r="O306" s="316" t="s">
        <v>31</v>
      </c>
      <c r="P306" s="10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</row>
    <row r="307" ht="18.0" customHeight="1">
      <c r="A307" s="5" t="s">
        <v>16</v>
      </c>
      <c r="B307" s="106"/>
      <c r="C307" s="312" t="s">
        <v>141</v>
      </c>
      <c r="D307" s="313">
        <v>46042.0</v>
      </c>
      <c r="E307" s="314">
        <v>0.4166666666666667</v>
      </c>
      <c r="F307" s="315" t="s">
        <v>479</v>
      </c>
      <c r="G307" s="334" t="s">
        <v>48</v>
      </c>
      <c r="H307" s="315" t="s">
        <v>480</v>
      </c>
      <c r="I307" s="312" t="s">
        <v>22</v>
      </c>
      <c r="J307" s="312">
        <v>2.0944441E7</v>
      </c>
      <c r="K307" s="312">
        <v>3.192871588E9</v>
      </c>
      <c r="L307" s="316"/>
      <c r="M307" s="317" t="s">
        <v>24</v>
      </c>
      <c r="N307" s="317" t="s">
        <v>784</v>
      </c>
      <c r="O307" s="316" t="s">
        <v>31</v>
      </c>
      <c r="P307" s="10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</row>
    <row r="308" ht="18.0" customHeight="1">
      <c r="A308" s="5" t="s">
        <v>16</v>
      </c>
      <c r="B308" s="106"/>
      <c r="C308" s="312" t="s">
        <v>141</v>
      </c>
      <c r="D308" s="313">
        <v>46042.0</v>
      </c>
      <c r="E308" s="314">
        <v>0.4166666666666667</v>
      </c>
      <c r="F308" s="315" t="s">
        <v>475</v>
      </c>
      <c r="G308" s="334" t="s">
        <v>48</v>
      </c>
      <c r="H308" s="315" t="s">
        <v>480</v>
      </c>
      <c r="I308" s="312" t="s">
        <v>22</v>
      </c>
      <c r="J308" s="312">
        <v>2.0944441E7</v>
      </c>
      <c r="K308" s="312">
        <v>3.192871588E9</v>
      </c>
      <c r="L308" s="316"/>
      <c r="M308" s="317" t="s">
        <v>24</v>
      </c>
      <c r="N308" s="317" t="s">
        <v>784</v>
      </c>
      <c r="O308" s="316" t="s">
        <v>31</v>
      </c>
      <c r="P308" s="10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</row>
    <row r="309" ht="18.0" customHeight="1">
      <c r="A309" s="5" t="s">
        <v>16</v>
      </c>
      <c r="B309" s="318">
        <v>550000.0</v>
      </c>
      <c r="C309" s="312" t="s">
        <v>141</v>
      </c>
      <c r="D309" s="313">
        <v>46042.0</v>
      </c>
      <c r="E309" s="314" t="s">
        <v>785</v>
      </c>
      <c r="F309" s="319" t="s">
        <v>55</v>
      </c>
      <c r="G309" s="334" t="s">
        <v>72</v>
      </c>
      <c r="H309" s="315" t="s">
        <v>786</v>
      </c>
      <c r="I309" s="312" t="s">
        <v>22</v>
      </c>
      <c r="J309" s="312">
        <v>8.0269435E7</v>
      </c>
      <c r="K309" s="312">
        <v>3.10511508E9</v>
      </c>
      <c r="L309" s="320"/>
      <c r="M309" s="321" t="s">
        <v>24</v>
      </c>
      <c r="N309" s="317" t="s">
        <v>787</v>
      </c>
      <c r="O309" s="316" t="s">
        <v>31</v>
      </c>
      <c r="P309" s="10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</row>
    <row r="310" ht="18.0" customHeight="1">
      <c r="A310" s="5" t="s">
        <v>16</v>
      </c>
      <c r="B310" s="106"/>
      <c r="C310" s="312" t="s">
        <v>141</v>
      </c>
      <c r="D310" s="313">
        <v>46042.0</v>
      </c>
      <c r="E310" s="314" t="s">
        <v>785</v>
      </c>
      <c r="F310" s="315" t="s">
        <v>788</v>
      </c>
      <c r="G310" s="334" t="s">
        <v>97</v>
      </c>
      <c r="H310" s="315" t="s">
        <v>624</v>
      </c>
      <c r="I310" s="312" t="s">
        <v>22</v>
      </c>
      <c r="J310" s="312">
        <v>2.6494232E7</v>
      </c>
      <c r="K310" s="312">
        <v>3.10281824E9</v>
      </c>
      <c r="L310" s="320" t="s">
        <v>789</v>
      </c>
      <c r="M310" s="317" t="s">
        <v>24</v>
      </c>
      <c r="N310" s="317" t="s">
        <v>790</v>
      </c>
      <c r="O310" s="316" t="s">
        <v>377</v>
      </c>
      <c r="P310" s="10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</row>
    <row r="311" ht="18.0" customHeight="1">
      <c r="A311" s="5" t="s">
        <v>16</v>
      </c>
      <c r="B311" s="318">
        <v>150000.0</v>
      </c>
      <c r="C311" s="312" t="s">
        <v>141</v>
      </c>
      <c r="D311" s="313">
        <v>46042.0</v>
      </c>
      <c r="E311" s="314">
        <v>0.5833333333333334</v>
      </c>
      <c r="F311" s="319" t="s">
        <v>262</v>
      </c>
      <c r="G311" s="334" t="s">
        <v>20</v>
      </c>
      <c r="H311" s="319" t="s">
        <v>791</v>
      </c>
      <c r="I311" s="334" t="s">
        <v>22</v>
      </c>
      <c r="J311" s="334">
        <v>1.127943236E9</v>
      </c>
      <c r="K311" s="334">
        <v>3.108252422E9</v>
      </c>
      <c r="L311" s="316"/>
      <c r="M311" s="317" t="s">
        <v>24</v>
      </c>
      <c r="N311" s="317" t="s">
        <v>792</v>
      </c>
      <c r="O311" s="320" t="s">
        <v>82</v>
      </c>
      <c r="P311" s="10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</row>
    <row r="312" ht="18.0" customHeight="1">
      <c r="A312" s="5" t="s">
        <v>16</v>
      </c>
      <c r="B312" s="318">
        <v>180000.0</v>
      </c>
      <c r="C312" s="312" t="s">
        <v>141</v>
      </c>
      <c r="D312" s="313">
        <v>46042.0</v>
      </c>
      <c r="E312" s="314">
        <v>0.5833333333333334</v>
      </c>
      <c r="F312" s="319" t="s">
        <v>793</v>
      </c>
      <c r="G312" s="334" t="s">
        <v>483</v>
      </c>
      <c r="H312" s="319" t="s">
        <v>791</v>
      </c>
      <c r="I312" s="334" t="s">
        <v>22</v>
      </c>
      <c r="J312" s="334">
        <v>1.127943236E9</v>
      </c>
      <c r="K312" s="334">
        <v>3.108252422E9</v>
      </c>
      <c r="L312" s="316"/>
      <c r="M312" s="317" t="s">
        <v>24</v>
      </c>
      <c r="N312" s="317" t="s">
        <v>792</v>
      </c>
      <c r="O312" s="320" t="s">
        <v>82</v>
      </c>
      <c r="P312" s="10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</row>
    <row r="313" ht="18.0" customHeight="1">
      <c r="A313" s="5" t="s">
        <v>16</v>
      </c>
      <c r="B313" s="318">
        <v>110000.0</v>
      </c>
      <c r="C313" s="312" t="s">
        <v>141</v>
      </c>
      <c r="D313" s="313">
        <v>46042.0</v>
      </c>
      <c r="E313" s="314">
        <v>0.5833333333333334</v>
      </c>
      <c r="F313" s="319" t="s">
        <v>475</v>
      </c>
      <c r="G313" s="334" t="s">
        <v>56</v>
      </c>
      <c r="H313" s="319" t="s">
        <v>791</v>
      </c>
      <c r="I313" s="334" t="s">
        <v>22</v>
      </c>
      <c r="J313" s="334">
        <v>1.127943236E9</v>
      </c>
      <c r="K313" s="334">
        <v>3.108252422E9</v>
      </c>
      <c r="L313" s="316"/>
      <c r="M313" s="317" t="s">
        <v>24</v>
      </c>
      <c r="N313" s="317" t="s">
        <v>792</v>
      </c>
      <c r="O313" s="320" t="s">
        <v>82</v>
      </c>
      <c r="P313" s="10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</row>
    <row r="314" ht="18.0" customHeight="1">
      <c r="A314" s="5" t="s">
        <v>16</v>
      </c>
      <c r="B314" s="318">
        <v>760000.0</v>
      </c>
      <c r="C314" s="312" t="s">
        <v>141</v>
      </c>
      <c r="D314" s="313">
        <v>46042.0</v>
      </c>
      <c r="E314" s="314">
        <v>0.5833333333333334</v>
      </c>
      <c r="F314" s="319" t="s">
        <v>794</v>
      </c>
      <c r="G314" s="334" t="s">
        <v>72</v>
      </c>
      <c r="H314" s="319" t="s">
        <v>791</v>
      </c>
      <c r="I314" s="334" t="s">
        <v>22</v>
      </c>
      <c r="J314" s="334">
        <v>1.127943236E9</v>
      </c>
      <c r="K314" s="334">
        <v>3.108252422E9</v>
      </c>
      <c r="L314" s="316"/>
      <c r="M314" s="317" t="s">
        <v>24</v>
      </c>
      <c r="N314" s="317" t="s">
        <v>792</v>
      </c>
      <c r="O314" s="320" t="s">
        <v>82</v>
      </c>
      <c r="P314" s="10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</row>
    <row r="315" ht="18.0" customHeight="1">
      <c r="A315" s="5" t="s">
        <v>16</v>
      </c>
      <c r="B315" s="318">
        <v>550000.0</v>
      </c>
      <c r="C315" s="312" t="s">
        <v>141</v>
      </c>
      <c r="D315" s="313">
        <v>46042.0</v>
      </c>
      <c r="E315" s="314">
        <v>0.5833333333333334</v>
      </c>
      <c r="F315" s="319" t="s">
        <v>55</v>
      </c>
      <c r="G315" s="334" t="s">
        <v>72</v>
      </c>
      <c r="H315" s="319" t="s">
        <v>763</v>
      </c>
      <c r="I315" s="334" t="s">
        <v>22</v>
      </c>
      <c r="J315" s="334">
        <v>5.2515921E7</v>
      </c>
      <c r="K315" s="334">
        <v>3.045435592E9</v>
      </c>
      <c r="L315" s="320"/>
      <c r="M315" s="317" t="s">
        <v>24</v>
      </c>
      <c r="N315" s="317" t="s">
        <v>795</v>
      </c>
      <c r="O315" s="320" t="s">
        <v>31</v>
      </c>
      <c r="P315" s="10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</row>
    <row r="316" ht="18.0" customHeight="1">
      <c r="A316" s="5" t="s">
        <v>16</v>
      </c>
      <c r="B316" s="318">
        <v>380000.0</v>
      </c>
      <c r="C316" s="312" t="s">
        <v>141</v>
      </c>
      <c r="D316" s="313">
        <v>46042.0</v>
      </c>
      <c r="E316" s="314">
        <v>0.5833333333333334</v>
      </c>
      <c r="F316" s="319" t="s">
        <v>796</v>
      </c>
      <c r="G316" s="334" t="s">
        <v>97</v>
      </c>
      <c r="H316" s="319" t="s">
        <v>653</v>
      </c>
      <c r="I316" s="334" t="s">
        <v>22</v>
      </c>
      <c r="J316" s="334">
        <v>5109350.0</v>
      </c>
      <c r="K316" s="334">
        <v>3.213255204E9</v>
      </c>
      <c r="L316" s="320"/>
      <c r="M316" s="317" t="s">
        <v>24</v>
      </c>
      <c r="N316" s="317" t="s">
        <v>797</v>
      </c>
      <c r="O316" s="320" t="s">
        <v>44</v>
      </c>
      <c r="P316" s="10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</row>
    <row r="317" ht="18.0" customHeight="1">
      <c r="A317" s="5" t="s">
        <v>16</v>
      </c>
      <c r="B317" s="318">
        <v>290000.0</v>
      </c>
      <c r="C317" s="312" t="s">
        <v>141</v>
      </c>
      <c r="D317" s="313">
        <v>46042.0</v>
      </c>
      <c r="E317" s="314">
        <v>0.5833333333333334</v>
      </c>
      <c r="F317" s="319" t="s">
        <v>798</v>
      </c>
      <c r="G317" s="334" t="s">
        <v>483</v>
      </c>
      <c r="H317" s="319" t="s">
        <v>653</v>
      </c>
      <c r="I317" s="334" t="s">
        <v>22</v>
      </c>
      <c r="J317" s="334">
        <v>5109350.0</v>
      </c>
      <c r="K317" s="334">
        <v>3.213255204E9</v>
      </c>
      <c r="L317" s="320"/>
      <c r="M317" s="317" t="s">
        <v>24</v>
      </c>
      <c r="N317" s="317" t="s">
        <v>797</v>
      </c>
      <c r="O317" s="320" t="s">
        <v>44</v>
      </c>
      <c r="P317" s="10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</row>
    <row r="318" ht="18.0" customHeight="1">
      <c r="A318" s="5" t="s">
        <v>16</v>
      </c>
      <c r="B318" s="318">
        <v>300000.0</v>
      </c>
      <c r="C318" s="312" t="s">
        <v>141</v>
      </c>
      <c r="D318" s="313">
        <v>46042.0</v>
      </c>
      <c r="E318" s="314">
        <v>0.5833333333333334</v>
      </c>
      <c r="F318" s="319" t="s">
        <v>55</v>
      </c>
      <c r="G318" s="334" t="s">
        <v>72</v>
      </c>
      <c r="H318" s="319" t="s">
        <v>799</v>
      </c>
      <c r="I318" s="334" t="s">
        <v>22</v>
      </c>
      <c r="J318" s="334">
        <v>6.5787072E7</v>
      </c>
      <c r="K318" s="334">
        <v>3.208608274E9</v>
      </c>
      <c r="L318" s="320" t="s">
        <v>800</v>
      </c>
      <c r="M318" s="317" t="s">
        <v>24</v>
      </c>
      <c r="N318" s="317" t="s">
        <v>801</v>
      </c>
      <c r="O318" s="320" t="s">
        <v>31</v>
      </c>
      <c r="P318" s="10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</row>
    <row r="319" ht="18.0" customHeight="1">
      <c r="A319" s="5" t="s">
        <v>16</v>
      </c>
      <c r="B319" s="318">
        <v>150000.0</v>
      </c>
      <c r="C319" s="312" t="s">
        <v>141</v>
      </c>
      <c r="D319" s="313">
        <v>46042.0</v>
      </c>
      <c r="E319" s="314">
        <v>0.625</v>
      </c>
      <c r="F319" s="319" t="s">
        <v>142</v>
      </c>
      <c r="G319" s="334" t="s">
        <v>20</v>
      </c>
      <c r="H319" s="319" t="s">
        <v>802</v>
      </c>
      <c r="I319" s="334" t="s">
        <v>22</v>
      </c>
      <c r="J319" s="334">
        <v>1.010961538E9</v>
      </c>
      <c r="K319" s="334">
        <v>3.125380204E9</v>
      </c>
      <c r="L319" s="320"/>
      <c r="M319" s="317" t="s">
        <v>24</v>
      </c>
      <c r="N319" s="317" t="s">
        <v>803</v>
      </c>
      <c r="O319" s="320" t="s">
        <v>804</v>
      </c>
      <c r="P319" s="10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</row>
    <row r="320" ht="18.0" customHeight="1">
      <c r="A320" s="5" t="s">
        <v>16</v>
      </c>
      <c r="B320" s="318">
        <v>150000.0</v>
      </c>
      <c r="C320" s="312" t="s">
        <v>141</v>
      </c>
      <c r="D320" s="313">
        <v>46042.0</v>
      </c>
      <c r="E320" s="314">
        <v>0.625</v>
      </c>
      <c r="F320" s="319" t="s">
        <v>142</v>
      </c>
      <c r="G320" s="334" t="s">
        <v>20</v>
      </c>
      <c r="H320" s="319" t="s">
        <v>494</v>
      </c>
      <c r="I320" s="334" t="s">
        <v>22</v>
      </c>
      <c r="J320" s="334">
        <v>2.0532631E7</v>
      </c>
      <c r="K320" s="334">
        <v>3.212163247E9</v>
      </c>
      <c r="L320" s="320"/>
      <c r="M320" s="317" t="s">
        <v>805</v>
      </c>
      <c r="N320" s="317" t="s">
        <v>806</v>
      </c>
      <c r="O320" s="320" t="s">
        <v>804</v>
      </c>
      <c r="P320" s="10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</row>
    <row r="321" ht="18.0" customHeight="1">
      <c r="A321" s="5" t="s">
        <v>16</v>
      </c>
      <c r="B321" s="106"/>
      <c r="C321" s="304" t="s">
        <v>141</v>
      </c>
      <c r="D321" s="305">
        <v>46042.0</v>
      </c>
      <c r="E321" s="306">
        <v>0.6666666666666666</v>
      </c>
      <c r="F321" s="307" t="s">
        <v>142</v>
      </c>
      <c r="G321" s="304" t="s">
        <v>20</v>
      </c>
      <c r="H321" s="307" t="s">
        <v>807</v>
      </c>
      <c r="I321" s="304" t="s">
        <v>22</v>
      </c>
      <c r="J321" s="304"/>
      <c r="K321" s="304">
        <v>3.003591124E9</v>
      </c>
      <c r="L321" s="339" t="s">
        <v>808</v>
      </c>
      <c r="M321" s="308" t="s">
        <v>809</v>
      </c>
      <c r="N321" s="322"/>
      <c r="O321" s="339" t="s">
        <v>804</v>
      </c>
      <c r="P321" s="10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</row>
    <row r="322" ht="18.0" customHeight="1">
      <c r="A322" s="13"/>
      <c r="B322" s="106"/>
      <c r="C322" s="13"/>
      <c r="D322" s="11"/>
      <c r="E322" s="13"/>
      <c r="F322" s="10"/>
      <c r="G322" s="13"/>
      <c r="H322" s="10"/>
      <c r="I322" s="13"/>
      <c r="J322" s="13"/>
      <c r="K322" s="13"/>
      <c r="L322" s="337"/>
      <c r="M322" s="338"/>
      <c r="N322" s="338"/>
      <c r="O322" s="337"/>
      <c r="P322" s="10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</row>
    <row r="323" ht="18.0" customHeight="1">
      <c r="A323" s="5" t="s">
        <v>16</v>
      </c>
      <c r="B323" s="106"/>
      <c r="C323" s="312" t="s">
        <v>203</v>
      </c>
      <c r="D323" s="313">
        <v>46043.0</v>
      </c>
      <c r="E323" s="314">
        <v>0.3333333333333333</v>
      </c>
      <c r="F323" s="315" t="s">
        <v>378</v>
      </c>
      <c r="G323" s="334" t="s">
        <v>63</v>
      </c>
      <c r="H323" s="315" t="s">
        <v>421</v>
      </c>
      <c r="I323" s="312" t="s">
        <v>22</v>
      </c>
      <c r="J323" s="312">
        <v>2.3359956E7</v>
      </c>
      <c r="K323" s="312">
        <v>3.002757965E9</v>
      </c>
      <c r="L323" s="320"/>
      <c r="M323" s="317" t="s">
        <v>24</v>
      </c>
      <c r="N323" s="317" t="s">
        <v>810</v>
      </c>
      <c r="O323" s="316" t="s">
        <v>377</v>
      </c>
      <c r="P323" s="10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</row>
    <row r="324" ht="18.0" customHeight="1">
      <c r="A324" s="5" t="s">
        <v>16</v>
      </c>
      <c r="B324" s="106"/>
      <c r="C324" s="312" t="s">
        <v>203</v>
      </c>
      <c r="D324" s="313">
        <v>46043.0</v>
      </c>
      <c r="E324" s="314">
        <v>0.3333333333333333</v>
      </c>
      <c r="F324" s="315" t="s">
        <v>811</v>
      </c>
      <c r="G324" s="334" t="s">
        <v>48</v>
      </c>
      <c r="H324" s="315" t="s">
        <v>812</v>
      </c>
      <c r="I324" s="312" t="s">
        <v>22</v>
      </c>
      <c r="J324" s="312">
        <v>7.9044739E7</v>
      </c>
      <c r="K324" s="312">
        <v>3.143350029E9</v>
      </c>
      <c r="L324" s="320"/>
      <c r="M324" s="317" t="s">
        <v>24</v>
      </c>
      <c r="N324" s="317" t="s">
        <v>813</v>
      </c>
      <c r="O324" s="316" t="s">
        <v>113</v>
      </c>
      <c r="P324" s="10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</row>
    <row r="325" ht="18.0" customHeight="1">
      <c r="A325" s="5" t="s">
        <v>16</v>
      </c>
      <c r="B325" s="318">
        <v>550000.0</v>
      </c>
      <c r="C325" s="312" t="s">
        <v>203</v>
      </c>
      <c r="D325" s="313">
        <v>46043.0</v>
      </c>
      <c r="E325" s="314">
        <v>0.3333333333333333</v>
      </c>
      <c r="F325" s="315" t="s">
        <v>378</v>
      </c>
      <c r="G325" s="334" t="s">
        <v>215</v>
      </c>
      <c r="H325" s="319" t="s">
        <v>814</v>
      </c>
      <c r="I325" s="334" t="s">
        <v>22</v>
      </c>
      <c r="J325" s="334">
        <v>4.147557E7</v>
      </c>
      <c r="K325" s="334">
        <v>3.168748185E9</v>
      </c>
      <c r="L325" s="320"/>
      <c r="M325" s="317" t="s">
        <v>24</v>
      </c>
      <c r="N325" s="317" t="s">
        <v>815</v>
      </c>
      <c r="O325" s="320" t="s">
        <v>31</v>
      </c>
      <c r="P325" s="10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</row>
    <row r="326" ht="18.0" customHeight="1">
      <c r="A326" s="5" t="s">
        <v>16</v>
      </c>
      <c r="B326" s="106"/>
      <c r="C326" s="312" t="s">
        <v>203</v>
      </c>
      <c r="D326" s="313">
        <v>46043.0</v>
      </c>
      <c r="E326" s="314">
        <v>0.375</v>
      </c>
      <c r="F326" s="315" t="s">
        <v>378</v>
      </c>
      <c r="G326" s="334" t="s">
        <v>63</v>
      </c>
      <c r="H326" s="315" t="s">
        <v>466</v>
      </c>
      <c r="I326" s="312" t="s">
        <v>22</v>
      </c>
      <c r="J326" s="312">
        <v>7.9266659E7</v>
      </c>
      <c r="K326" s="312">
        <v>3.108635966E9</v>
      </c>
      <c r="L326" s="320"/>
      <c r="M326" s="317" t="s">
        <v>24</v>
      </c>
      <c r="N326" s="317" t="s">
        <v>816</v>
      </c>
      <c r="O326" s="316" t="s">
        <v>220</v>
      </c>
      <c r="P326" s="10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</row>
    <row r="327" ht="18.0" customHeight="1">
      <c r="A327" s="5" t="s">
        <v>16</v>
      </c>
      <c r="B327" s="106"/>
      <c r="C327" s="312" t="s">
        <v>203</v>
      </c>
      <c r="D327" s="313">
        <v>46043.0</v>
      </c>
      <c r="E327" s="314">
        <v>0.375</v>
      </c>
      <c r="F327" s="315" t="s">
        <v>55</v>
      </c>
      <c r="G327" s="334" t="s">
        <v>48</v>
      </c>
      <c r="H327" s="315" t="s">
        <v>509</v>
      </c>
      <c r="I327" s="312" t="s">
        <v>22</v>
      </c>
      <c r="J327" s="312">
        <v>2.0472332E7</v>
      </c>
      <c r="K327" s="312">
        <v>3.133629981E9</v>
      </c>
      <c r="L327" s="320"/>
      <c r="M327" s="317" t="s">
        <v>24</v>
      </c>
      <c r="N327" s="317" t="s">
        <v>817</v>
      </c>
      <c r="O327" s="316" t="s">
        <v>377</v>
      </c>
      <c r="P327" s="10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</row>
    <row r="328" ht="18.0" customHeight="1">
      <c r="A328" s="5" t="s">
        <v>16</v>
      </c>
      <c r="B328" s="106"/>
      <c r="C328" s="312" t="s">
        <v>203</v>
      </c>
      <c r="D328" s="313">
        <v>46043.0</v>
      </c>
      <c r="E328" s="314">
        <v>0.375</v>
      </c>
      <c r="F328" s="315" t="s">
        <v>475</v>
      </c>
      <c r="G328" s="334" t="s">
        <v>97</v>
      </c>
      <c r="H328" s="315" t="s">
        <v>509</v>
      </c>
      <c r="I328" s="312" t="s">
        <v>22</v>
      </c>
      <c r="J328" s="312">
        <v>2.0472332E7</v>
      </c>
      <c r="K328" s="312">
        <v>3.133629981E9</v>
      </c>
      <c r="L328" s="320"/>
      <c r="M328" s="317" t="s">
        <v>24</v>
      </c>
      <c r="N328" s="317" t="s">
        <v>817</v>
      </c>
      <c r="O328" s="316" t="s">
        <v>377</v>
      </c>
      <c r="P328" s="10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</row>
    <row r="329" ht="18.0" customHeight="1">
      <c r="A329" s="5" t="s">
        <v>16</v>
      </c>
      <c r="B329" s="106"/>
      <c r="C329" s="312" t="s">
        <v>203</v>
      </c>
      <c r="D329" s="313">
        <v>46043.0</v>
      </c>
      <c r="E329" s="314">
        <v>0.375</v>
      </c>
      <c r="F329" s="315" t="s">
        <v>660</v>
      </c>
      <c r="G329" s="334" t="s">
        <v>97</v>
      </c>
      <c r="H329" s="315" t="s">
        <v>509</v>
      </c>
      <c r="I329" s="312" t="s">
        <v>22</v>
      </c>
      <c r="J329" s="312">
        <v>2.0472332E7</v>
      </c>
      <c r="K329" s="312">
        <v>3.133629981E9</v>
      </c>
      <c r="L329" s="320"/>
      <c r="M329" s="317" t="s">
        <v>24</v>
      </c>
      <c r="N329" s="317" t="s">
        <v>817</v>
      </c>
      <c r="O329" s="316" t="s">
        <v>377</v>
      </c>
      <c r="P329" s="10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</row>
    <row r="330" ht="18.0" customHeight="1">
      <c r="A330" s="5" t="s">
        <v>16</v>
      </c>
      <c r="B330" s="106"/>
      <c r="C330" s="312" t="s">
        <v>203</v>
      </c>
      <c r="D330" s="313">
        <v>46043.0</v>
      </c>
      <c r="E330" s="314">
        <v>0.375</v>
      </c>
      <c r="F330" s="319" t="s">
        <v>818</v>
      </c>
      <c r="G330" s="334" t="s">
        <v>97</v>
      </c>
      <c r="H330" s="315" t="s">
        <v>53</v>
      </c>
      <c r="I330" s="312" t="s">
        <v>22</v>
      </c>
      <c r="J330" s="312">
        <v>5.2183685E7</v>
      </c>
      <c r="K330" s="312">
        <v>3.212173371E9</v>
      </c>
      <c r="L330" s="320" t="s">
        <v>819</v>
      </c>
      <c r="M330" s="317" t="s">
        <v>24</v>
      </c>
      <c r="N330" s="317" t="s">
        <v>441</v>
      </c>
      <c r="O330" s="316" t="s">
        <v>31</v>
      </c>
      <c r="P330" s="10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 t="s">
        <v>16</v>
      </c>
      <c r="AB330" s="7">
        <v>687500.0</v>
      </c>
      <c r="AC330" s="7" t="s">
        <v>17</v>
      </c>
      <c r="AD330" s="7">
        <v>46038.0</v>
      </c>
      <c r="AE330" s="7" t="s">
        <v>52</v>
      </c>
      <c r="AF330" s="7" t="s">
        <v>71</v>
      </c>
      <c r="AG330" s="7" t="s">
        <v>67</v>
      </c>
      <c r="AH330" s="7" t="s">
        <v>53</v>
      </c>
      <c r="AI330" s="7" t="s">
        <v>22</v>
      </c>
      <c r="AJ330" s="7">
        <v>5.1183685E7</v>
      </c>
      <c r="AK330" s="7">
        <v>3.212173371E9</v>
      </c>
      <c r="AL330" s="7" t="s">
        <v>820</v>
      </c>
      <c r="AM330" s="7"/>
      <c r="AN330" s="7" t="s">
        <v>24</v>
      </c>
      <c r="AO330" s="7" t="s">
        <v>31</v>
      </c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 t="s">
        <v>16</v>
      </c>
      <c r="BB330" s="7">
        <v>687500.0</v>
      </c>
      <c r="BC330" s="7" t="s">
        <v>17</v>
      </c>
      <c r="BD330" s="7">
        <v>46038.0</v>
      </c>
      <c r="BE330" s="7" t="s">
        <v>52</v>
      </c>
      <c r="BF330" s="7" t="s">
        <v>71</v>
      </c>
      <c r="BG330" s="7" t="s">
        <v>67</v>
      </c>
      <c r="BH330" s="7" t="s">
        <v>53</v>
      </c>
      <c r="BI330" s="7" t="s">
        <v>22</v>
      </c>
      <c r="BJ330" s="7">
        <v>5.1183685E7</v>
      </c>
      <c r="BK330" s="7">
        <v>3.212173371E9</v>
      </c>
      <c r="BL330" s="7" t="s">
        <v>821</v>
      </c>
      <c r="BM330" s="7"/>
      <c r="BN330" s="7" t="s">
        <v>24</v>
      </c>
      <c r="BO330" s="7" t="s">
        <v>31</v>
      </c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</row>
    <row r="331" ht="18.0" customHeight="1">
      <c r="A331" s="5" t="s">
        <v>16</v>
      </c>
      <c r="B331" s="318">
        <v>440000.0</v>
      </c>
      <c r="C331" s="312" t="s">
        <v>203</v>
      </c>
      <c r="D331" s="313">
        <v>46043.0</v>
      </c>
      <c r="E331" s="314">
        <v>0.375</v>
      </c>
      <c r="F331" s="315" t="s">
        <v>475</v>
      </c>
      <c r="G331" s="334" t="s">
        <v>72</v>
      </c>
      <c r="H331" s="319" t="s">
        <v>53</v>
      </c>
      <c r="I331" s="334" t="s">
        <v>22</v>
      </c>
      <c r="J331" s="334">
        <v>5.2183685E7</v>
      </c>
      <c r="K331" s="334">
        <v>3.212173371E9</v>
      </c>
      <c r="L331" s="320"/>
      <c r="M331" s="317" t="s">
        <v>24</v>
      </c>
      <c r="N331" s="317" t="s">
        <v>822</v>
      </c>
      <c r="O331" s="320" t="s">
        <v>31</v>
      </c>
      <c r="P331" s="10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</row>
    <row r="332" ht="18.0" customHeight="1">
      <c r="A332" s="5" t="s">
        <v>16</v>
      </c>
      <c r="B332" s="318">
        <v>150000.0</v>
      </c>
      <c r="C332" s="312" t="s">
        <v>203</v>
      </c>
      <c r="D332" s="313">
        <v>46043.0</v>
      </c>
      <c r="E332" s="314">
        <v>0.375</v>
      </c>
      <c r="F332" s="315" t="s">
        <v>823</v>
      </c>
      <c r="G332" s="334" t="s">
        <v>20</v>
      </c>
      <c r="H332" s="319" t="s">
        <v>824</v>
      </c>
      <c r="I332" s="334" t="s">
        <v>22</v>
      </c>
      <c r="J332" s="334">
        <v>1.029980511E9</v>
      </c>
      <c r="K332" s="334">
        <v>3.167020987E9</v>
      </c>
      <c r="L332" s="320"/>
      <c r="M332" s="317" t="s">
        <v>24</v>
      </c>
      <c r="N332" s="317" t="s">
        <v>825</v>
      </c>
      <c r="O332" s="320" t="s">
        <v>31</v>
      </c>
      <c r="P332" s="10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</row>
    <row r="333" ht="18.0" customHeight="1">
      <c r="A333" s="5" t="s">
        <v>16</v>
      </c>
      <c r="B333" s="318">
        <v>760000.0</v>
      </c>
      <c r="C333" s="312" t="s">
        <v>203</v>
      </c>
      <c r="D333" s="313">
        <v>46043.0</v>
      </c>
      <c r="E333" s="314">
        <v>0.375</v>
      </c>
      <c r="F333" s="315" t="s">
        <v>826</v>
      </c>
      <c r="G333" s="334" t="s">
        <v>72</v>
      </c>
      <c r="H333" s="319" t="s">
        <v>824</v>
      </c>
      <c r="I333" s="334" t="s">
        <v>22</v>
      </c>
      <c r="J333" s="334">
        <v>1.029980511E9</v>
      </c>
      <c r="K333" s="334">
        <v>3.167020987E9</v>
      </c>
      <c r="L333" s="320"/>
      <c r="M333" s="317" t="s">
        <v>24</v>
      </c>
      <c r="N333" s="317" t="s">
        <v>825</v>
      </c>
      <c r="O333" s="320" t="s">
        <v>31</v>
      </c>
      <c r="P333" s="10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</row>
    <row r="334" ht="18.0" customHeight="1">
      <c r="A334" s="5" t="s">
        <v>16</v>
      </c>
      <c r="B334" s="106"/>
      <c r="C334" s="312" t="s">
        <v>203</v>
      </c>
      <c r="D334" s="313">
        <v>46043.0</v>
      </c>
      <c r="E334" s="314">
        <v>0.4166666666666667</v>
      </c>
      <c r="F334" s="319" t="s">
        <v>794</v>
      </c>
      <c r="G334" s="334" t="s">
        <v>97</v>
      </c>
      <c r="H334" s="315" t="s">
        <v>791</v>
      </c>
      <c r="I334" s="312" t="s">
        <v>22</v>
      </c>
      <c r="J334" s="312">
        <v>1.127943236E9</v>
      </c>
      <c r="K334" s="312">
        <v>3.108252422E9</v>
      </c>
      <c r="L334" s="320"/>
      <c r="M334" s="317" t="s">
        <v>24</v>
      </c>
      <c r="N334" s="317" t="s">
        <v>827</v>
      </c>
      <c r="O334" s="316" t="s">
        <v>82</v>
      </c>
      <c r="P334" s="10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</row>
    <row r="335" ht="18.0" customHeight="1">
      <c r="A335" s="5" t="s">
        <v>16</v>
      </c>
      <c r="B335" s="318">
        <v>150000.0</v>
      </c>
      <c r="C335" s="312" t="s">
        <v>203</v>
      </c>
      <c r="D335" s="313">
        <v>46043.0</v>
      </c>
      <c r="E335" s="314">
        <v>0.4375</v>
      </c>
      <c r="F335" s="319" t="s">
        <v>823</v>
      </c>
      <c r="G335" s="334" t="s">
        <v>20</v>
      </c>
      <c r="H335" s="315" t="s">
        <v>814</v>
      </c>
      <c r="I335" s="312" t="s">
        <v>22</v>
      </c>
      <c r="J335" s="312">
        <v>4.147557E7</v>
      </c>
      <c r="K335" s="312">
        <v>3.168748185E9</v>
      </c>
      <c r="L335" s="320"/>
      <c r="M335" s="317" t="s">
        <v>24</v>
      </c>
      <c r="N335" s="317" t="s">
        <v>815</v>
      </c>
      <c r="O335" s="316" t="s">
        <v>31</v>
      </c>
      <c r="P335" s="10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</row>
    <row r="336" ht="18.0" customHeight="1">
      <c r="A336" s="5" t="s">
        <v>16</v>
      </c>
      <c r="B336" s="318">
        <v>120000.0</v>
      </c>
      <c r="C336" s="312" t="s">
        <v>203</v>
      </c>
      <c r="D336" s="313">
        <v>46043.0</v>
      </c>
      <c r="E336" s="314">
        <v>0.4375</v>
      </c>
      <c r="F336" s="319" t="s">
        <v>828</v>
      </c>
      <c r="G336" s="334" t="s">
        <v>483</v>
      </c>
      <c r="H336" s="315" t="s">
        <v>814</v>
      </c>
      <c r="I336" s="312" t="s">
        <v>22</v>
      </c>
      <c r="J336" s="312">
        <v>4.147557E7</v>
      </c>
      <c r="K336" s="312">
        <v>3.168748185E9</v>
      </c>
      <c r="L336" s="320"/>
      <c r="M336" s="317" t="s">
        <v>24</v>
      </c>
      <c r="N336" s="317" t="s">
        <v>815</v>
      </c>
      <c r="O336" s="316" t="s">
        <v>31</v>
      </c>
      <c r="P336" s="10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</row>
    <row r="337" ht="18.0" customHeight="1">
      <c r="A337" s="5" t="s">
        <v>16</v>
      </c>
      <c r="B337" s="318">
        <v>440000.0</v>
      </c>
      <c r="C337" s="312" t="s">
        <v>203</v>
      </c>
      <c r="D337" s="313">
        <v>46043.0</v>
      </c>
      <c r="E337" s="314">
        <v>0.4375</v>
      </c>
      <c r="F337" s="319" t="s">
        <v>475</v>
      </c>
      <c r="G337" s="334" t="s">
        <v>72</v>
      </c>
      <c r="H337" s="315" t="s">
        <v>814</v>
      </c>
      <c r="I337" s="312" t="s">
        <v>22</v>
      </c>
      <c r="J337" s="312">
        <v>4.147557E7</v>
      </c>
      <c r="K337" s="312">
        <v>3.168748185E9</v>
      </c>
      <c r="L337" s="320"/>
      <c r="M337" s="317" t="s">
        <v>24</v>
      </c>
      <c r="N337" s="317" t="s">
        <v>815</v>
      </c>
      <c r="O337" s="316" t="s">
        <v>31</v>
      </c>
      <c r="P337" s="10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</row>
    <row r="338" ht="18.0" customHeight="1">
      <c r="A338" s="5" t="s">
        <v>16</v>
      </c>
      <c r="B338" s="106"/>
      <c r="C338" s="304" t="s">
        <v>203</v>
      </c>
      <c r="D338" s="305">
        <v>46043.0</v>
      </c>
      <c r="E338" s="306">
        <v>0.4166666666666667</v>
      </c>
      <c r="F338" s="307" t="s">
        <v>829</v>
      </c>
      <c r="G338" s="304" t="s">
        <v>72</v>
      </c>
      <c r="H338" s="307" t="s">
        <v>830</v>
      </c>
      <c r="I338" s="304"/>
      <c r="J338" s="304">
        <v>8.0129087E7</v>
      </c>
      <c r="K338" s="304">
        <v>3.003828183E9</v>
      </c>
      <c r="L338" s="339" t="s">
        <v>831</v>
      </c>
      <c r="M338" s="308" t="s">
        <v>43</v>
      </c>
      <c r="N338" s="322"/>
      <c r="O338" s="310" t="s">
        <v>92</v>
      </c>
      <c r="P338" s="10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</row>
    <row r="339" ht="18.0" customHeight="1">
      <c r="A339" s="5" t="s">
        <v>16</v>
      </c>
      <c r="B339" s="106"/>
      <c r="C339" s="304" t="s">
        <v>203</v>
      </c>
      <c r="D339" s="305">
        <v>46043.0</v>
      </c>
      <c r="E339" s="306">
        <v>0.4375</v>
      </c>
      <c r="F339" s="307" t="s">
        <v>366</v>
      </c>
      <c r="G339" s="304" t="s">
        <v>97</v>
      </c>
      <c r="H339" s="307" t="s">
        <v>644</v>
      </c>
      <c r="I339" s="304" t="s">
        <v>22</v>
      </c>
      <c r="J339" s="304">
        <v>1.013654785E9</v>
      </c>
      <c r="K339" s="304">
        <v>3.114916115E9</v>
      </c>
      <c r="L339" s="339" t="s">
        <v>316</v>
      </c>
      <c r="M339" s="308" t="s">
        <v>43</v>
      </c>
      <c r="N339" s="322"/>
      <c r="O339" s="310" t="s">
        <v>377</v>
      </c>
      <c r="P339" s="10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</row>
    <row r="340" ht="18.0" customHeight="1">
      <c r="A340" s="5" t="s">
        <v>16</v>
      </c>
      <c r="B340" s="106"/>
      <c r="C340" s="304" t="s">
        <v>203</v>
      </c>
      <c r="D340" s="305">
        <v>46043.0</v>
      </c>
      <c r="E340" s="306">
        <v>0.4375</v>
      </c>
      <c r="F340" s="307" t="s">
        <v>647</v>
      </c>
      <c r="G340" s="304" t="s">
        <v>97</v>
      </c>
      <c r="H340" s="307" t="s">
        <v>644</v>
      </c>
      <c r="I340" s="304" t="s">
        <v>22</v>
      </c>
      <c r="J340" s="304">
        <v>1.013654785E9</v>
      </c>
      <c r="K340" s="304">
        <v>3.114916115E9</v>
      </c>
      <c r="L340" s="339" t="s">
        <v>316</v>
      </c>
      <c r="M340" s="308" t="s">
        <v>43</v>
      </c>
      <c r="N340" s="322"/>
      <c r="O340" s="310" t="s">
        <v>377</v>
      </c>
      <c r="P340" s="10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</row>
    <row r="341" ht="18.0" customHeight="1">
      <c r="A341" s="5" t="s">
        <v>16</v>
      </c>
      <c r="B341" s="106"/>
      <c r="C341" s="304" t="s">
        <v>203</v>
      </c>
      <c r="D341" s="305">
        <v>46043.0</v>
      </c>
      <c r="E341" s="306" t="s">
        <v>785</v>
      </c>
      <c r="F341" s="307" t="s">
        <v>475</v>
      </c>
      <c r="G341" s="304" t="s">
        <v>63</v>
      </c>
      <c r="H341" s="307" t="s">
        <v>532</v>
      </c>
      <c r="I341" s="304" t="s">
        <v>22</v>
      </c>
      <c r="J341" s="304">
        <v>4.0781167E7</v>
      </c>
      <c r="K341" s="304">
        <v>3.103787343E9</v>
      </c>
      <c r="L341" s="339"/>
      <c r="M341" s="308" t="s">
        <v>43</v>
      </c>
      <c r="N341" s="322"/>
      <c r="O341" s="310" t="s">
        <v>534</v>
      </c>
      <c r="P341" s="10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</row>
    <row r="342" ht="18.0" customHeight="1">
      <c r="A342" s="5" t="s">
        <v>16</v>
      </c>
      <c r="B342" s="106"/>
      <c r="C342" s="304" t="s">
        <v>203</v>
      </c>
      <c r="D342" s="305">
        <v>46043.0</v>
      </c>
      <c r="E342" s="306" t="s">
        <v>785</v>
      </c>
      <c r="F342" s="307" t="s">
        <v>650</v>
      </c>
      <c r="G342" s="304" t="s">
        <v>63</v>
      </c>
      <c r="H342" s="307" t="s">
        <v>532</v>
      </c>
      <c r="I342" s="304" t="s">
        <v>22</v>
      </c>
      <c r="J342" s="304">
        <v>4.0781167E7</v>
      </c>
      <c r="K342" s="304">
        <v>3.103787343E9</v>
      </c>
      <c r="L342" s="339" t="s">
        <v>651</v>
      </c>
      <c r="M342" s="308" t="s">
        <v>43</v>
      </c>
      <c r="N342" s="322"/>
      <c r="O342" s="310" t="s">
        <v>534</v>
      </c>
      <c r="P342" s="10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</row>
    <row r="343" ht="18.0" customHeight="1">
      <c r="A343" s="5" t="s">
        <v>16</v>
      </c>
      <c r="B343" s="106"/>
      <c r="C343" s="312" t="s">
        <v>177</v>
      </c>
      <c r="D343" s="313">
        <v>46043.0</v>
      </c>
      <c r="E343" s="314">
        <v>0.5</v>
      </c>
      <c r="F343" s="319" t="s">
        <v>378</v>
      </c>
      <c r="G343" s="334" t="s">
        <v>63</v>
      </c>
      <c r="H343" s="315" t="s">
        <v>401</v>
      </c>
      <c r="I343" s="312" t="s">
        <v>22</v>
      </c>
      <c r="J343" s="312">
        <v>8.002361E7</v>
      </c>
      <c r="K343" s="312">
        <v>3.138031959E9</v>
      </c>
      <c r="L343" s="320"/>
      <c r="M343" s="317" t="s">
        <v>24</v>
      </c>
      <c r="N343" s="317" t="s">
        <v>832</v>
      </c>
      <c r="O343" s="316" t="s">
        <v>82</v>
      </c>
      <c r="P343" s="10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</row>
    <row r="344" ht="18.0" customHeight="1">
      <c r="A344" s="5" t="s">
        <v>16</v>
      </c>
      <c r="B344" s="106"/>
      <c r="C344" s="312" t="s">
        <v>177</v>
      </c>
      <c r="D344" s="313">
        <v>46043.0</v>
      </c>
      <c r="E344" s="314">
        <v>0.625</v>
      </c>
      <c r="F344" s="319" t="s">
        <v>55</v>
      </c>
      <c r="G344" s="334" t="s">
        <v>97</v>
      </c>
      <c r="H344" s="315" t="s">
        <v>702</v>
      </c>
      <c r="I344" s="312" t="s">
        <v>22</v>
      </c>
      <c r="J344" s="312">
        <v>5.2082364E7</v>
      </c>
      <c r="K344" s="312">
        <v>3.202969197E9</v>
      </c>
      <c r="L344" s="320"/>
      <c r="M344" s="317" t="s">
        <v>24</v>
      </c>
      <c r="N344" s="317" t="s">
        <v>833</v>
      </c>
      <c r="O344" s="316" t="s">
        <v>704</v>
      </c>
      <c r="P344" s="10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</row>
    <row r="345" ht="18.0" customHeight="1">
      <c r="A345" s="5" t="s">
        <v>16</v>
      </c>
      <c r="B345" s="106"/>
      <c r="C345" s="312" t="s">
        <v>203</v>
      </c>
      <c r="D345" s="313">
        <v>46043.0</v>
      </c>
      <c r="E345" s="314">
        <v>0.6666666666666666</v>
      </c>
      <c r="F345" s="315" t="s">
        <v>55</v>
      </c>
      <c r="G345" s="312" t="s">
        <v>63</v>
      </c>
      <c r="H345" s="315" t="s">
        <v>458</v>
      </c>
      <c r="I345" s="312" t="s">
        <v>22</v>
      </c>
      <c r="J345" s="312">
        <v>7.9057655E7</v>
      </c>
      <c r="K345" s="312">
        <v>3.178596972E9</v>
      </c>
      <c r="L345" s="320"/>
      <c r="M345" s="317" t="s">
        <v>24</v>
      </c>
      <c r="N345" s="317" t="s">
        <v>834</v>
      </c>
      <c r="O345" s="316" t="s">
        <v>220</v>
      </c>
      <c r="P345" s="10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</row>
    <row r="346" ht="18.0" customHeight="1">
      <c r="A346" s="5" t="s">
        <v>16</v>
      </c>
      <c r="B346" s="106"/>
      <c r="C346" s="312" t="s">
        <v>203</v>
      </c>
      <c r="D346" s="313">
        <v>46043.0</v>
      </c>
      <c r="E346" s="314">
        <v>0.6666666666666666</v>
      </c>
      <c r="F346" s="319" t="s">
        <v>55</v>
      </c>
      <c r="G346" s="334" t="s">
        <v>97</v>
      </c>
      <c r="H346" s="315" t="s">
        <v>835</v>
      </c>
      <c r="I346" s="312" t="s">
        <v>22</v>
      </c>
      <c r="J346" s="312">
        <v>1.1276521E7</v>
      </c>
      <c r="K346" s="312">
        <v>3.114494196E9</v>
      </c>
      <c r="L346" s="320"/>
      <c r="M346" s="317" t="s">
        <v>24</v>
      </c>
      <c r="N346" s="317" t="s">
        <v>836</v>
      </c>
      <c r="O346" s="320" t="s">
        <v>377</v>
      </c>
      <c r="P346" s="10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</row>
    <row r="347" ht="18.0" customHeight="1">
      <c r="A347" s="5" t="s">
        <v>16</v>
      </c>
      <c r="B347" s="318">
        <v>60000.0</v>
      </c>
      <c r="C347" s="312" t="s">
        <v>203</v>
      </c>
      <c r="D347" s="313">
        <v>46043.0</v>
      </c>
      <c r="E347" s="314">
        <v>0.6666666666666666</v>
      </c>
      <c r="F347" s="319" t="s">
        <v>366</v>
      </c>
      <c r="G347" s="334" t="s">
        <v>63</v>
      </c>
      <c r="H347" s="315" t="s">
        <v>835</v>
      </c>
      <c r="I347" s="312" t="s">
        <v>22</v>
      </c>
      <c r="J347" s="312">
        <v>1.1276521E7</v>
      </c>
      <c r="K347" s="312">
        <v>3.114494196E9</v>
      </c>
      <c r="L347" s="320"/>
      <c r="M347" s="317" t="s">
        <v>24</v>
      </c>
      <c r="N347" s="317" t="s">
        <v>837</v>
      </c>
      <c r="O347" s="320" t="s">
        <v>377</v>
      </c>
      <c r="P347" s="10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</row>
    <row r="348" ht="18.0" customHeight="1">
      <c r="A348" s="5" t="s">
        <v>16</v>
      </c>
      <c r="B348" s="106"/>
      <c r="C348" s="304" t="s">
        <v>203</v>
      </c>
      <c r="D348" s="305">
        <v>46043.0</v>
      </c>
      <c r="E348" s="306">
        <v>0.6666666666666666</v>
      </c>
      <c r="F348" s="307" t="s">
        <v>829</v>
      </c>
      <c r="G348" s="343" t="s">
        <v>127</v>
      </c>
      <c r="H348" s="307" t="s">
        <v>838</v>
      </c>
      <c r="I348" s="304" t="s">
        <v>22</v>
      </c>
      <c r="J348" s="304">
        <v>9296644.0</v>
      </c>
      <c r="K348" s="304">
        <v>3.217673579E9</v>
      </c>
      <c r="L348" s="339" t="s">
        <v>839</v>
      </c>
      <c r="M348" s="308" t="s">
        <v>43</v>
      </c>
      <c r="N348" s="322"/>
      <c r="O348" s="310" t="s">
        <v>220</v>
      </c>
      <c r="P348" s="10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</row>
    <row r="349" ht="18.0" customHeight="1">
      <c r="A349" s="13"/>
      <c r="B349" s="106"/>
      <c r="C349" s="111"/>
      <c r="D349" s="11"/>
      <c r="E349" s="341"/>
      <c r="F349" s="107"/>
      <c r="G349" s="13"/>
      <c r="H349" s="107"/>
      <c r="I349" s="111"/>
      <c r="J349" s="111"/>
      <c r="K349" s="111"/>
      <c r="L349" s="337"/>
      <c r="M349" s="338"/>
      <c r="N349" s="338"/>
      <c r="O349" s="344"/>
      <c r="P349" s="10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</row>
    <row r="350" ht="18.0" customHeight="1">
      <c r="A350" s="5" t="s">
        <v>16</v>
      </c>
      <c r="B350" s="106"/>
      <c r="C350" s="304" t="s">
        <v>207</v>
      </c>
      <c r="D350" s="305">
        <v>46044.0</v>
      </c>
      <c r="E350" s="306">
        <v>0.3333333333333333</v>
      </c>
      <c r="F350" s="307" t="s">
        <v>262</v>
      </c>
      <c r="G350" s="304" t="s">
        <v>20</v>
      </c>
      <c r="H350" s="307" t="s">
        <v>840</v>
      </c>
      <c r="I350" s="304" t="s">
        <v>22</v>
      </c>
      <c r="J350" s="304">
        <v>1.050718508E9</v>
      </c>
      <c r="K350" s="304">
        <v>3.125301025E9</v>
      </c>
      <c r="L350" s="339" t="s">
        <v>841</v>
      </c>
      <c r="M350" s="308" t="s">
        <v>43</v>
      </c>
      <c r="N350" s="322"/>
      <c r="O350" s="310" t="s">
        <v>220</v>
      </c>
      <c r="P350" s="10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</row>
    <row r="351" ht="18.0" customHeight="1">
      <c r="A351" s="5" t="s">
        <v>16</v>
      </c>
      <c r="B351" s="106"/>
      <c r="C351" s="304" t="s">
        <v>207</v>
      </c>
      <c r="D351" s="305">
        <v>46044.0</v>
      </c>
      <c r="E351" s="306">
        <v>0.3541666666666667</v>
      </c>
      <c r="F351" s="307" t="s">
        <v>475</v>
      </c>
      <c r="G351" s="304" t="s">
        <v>72</v>
      </c>
      <c r="H351" s="307" t="s">
        <v>765</v>
      </c>
      <c r="I351" s="304" t="s">
        <v>22</v>
      </c>
      <c r="J351" s="304">
        <v>1.015416924E9</v>
      </c>
      <c r="K351" s="304">
        <v>3.144740054E9</v>
      </c>
      <c r="L351" s="339" t="s">
        <v>842</v>
      </c>
      <c r="M351" s="308" t="s">
        <v>43</v>
      </c>
      <c r="N351" s="322"/>
      <c r="O351" s="310" t="s">
        <v>377</v>
      </c>
      <c r="P351" s="10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</row>
    <row r="352" ht="18.0" customHeight="1">
      <c r="A352" s="5" t="s">
        <v>16</v>
      </c>
      <c r="B352" s="106"/>
      <c r="C352" s="304" t="s">
        <v>207</v>
      </c>
      <c r="D352" s="305">
        <v>46044.0</v>
      </c>
      <c r="E352" s="306">
        <v>0.3541666666666667</v>
      </c>
      <c r="F352" s="307" t="s">
        <v>766</v>
      </c>
      <c r="G352" s="304" t="s">
        <v>72</v>
      </c>
      <c r="H352" s="307" t="s">
        <v>765</v>
      </c>
      <c r="I352" s="304" t="s">
        <v>22</v>
      </c>
      <c r="J352" s="304">
        <v>1.015416924E9</v>
      </c>
      <c r="K352" s="304">
        <v>3.144740054E9</v>
      </c>
      <c r="L352" s="339" t="s">
        <v>842</v>
      </c>
      <c r="M352" s="308" t="s">
        <v>43</v>
      </c>
      <c r="N352" s="322"/>
      <c r="O352" s="310" t="s">
        <v>377</v>
      </c>
      <c r="P352" s="10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</row>
    <row r="353" ht="18.0" customHeight="1">
      <c r="A353" s="5" t="s">
        <v>16</v>
      </c>
      <c r="B353" s="318">
        <v>550000.0</v>
      </c>
      <c r="C353" s="312" t="s">
        <v>207</v>
      </c>
      <c r="D353" s="313">
        <v>46044.0</v>
      </c>
      <c r="E353" s="314">
        <v>0.3541666666666667</v>
      </c>
      <c r="F353" s="319" t="s">
        <v>378</v>
      </c>
      <c r="G353" s="334" t="s">
        <v>72</v>
      </c>
      <c r="H353" s="315" t="s">
        <v>843</v>
      </c>
      <c r="I353" s="312" t="s">
        <v>22</v>
      </c>
      <c r="J353" s="312">
        <v>5.182208E7</v>
      </c>
      <c r="K353" s="312">
        <v>3.013053795E9</v>
      </c>
      <c r="L353" s="320"/>
      <c r="M353" s="317" t="s">
        <v>24</v>
      </c>
      <c r="N353" s="317" t="s">
        <v>844</v>
      </c>
      <c r="O353" s="320" t="s">
        <v>31</v>
      </c>
      <c r="P353" s="10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</row>
    <row r="354" ht="18.0" customHeight="1">
      <c r="A354" s="5" t="s">
        <v>16</v>
      </c>
      <c r="B354" s="106"/>
      <c r="C354" s="312" t="s">
        <v>207</v>
      </c>
      <c r="D354" s="313">
        <v>46044.0</v>
      </c>
      <c r="E354" s="314">
        <v>0.3541666666666667</v>
      </c>
      <c r="F354" s="315" t="s">
        <v>475</v>
      </c>
      <c r="G354" s="312" t="s">
        <v>63</v>
      </c>
      <c r="H354" s="315" t="s">
        <v>696</v>
      </c>
      <c r="I354" s="312" t="s">
        <v>22</v>
      </c>
      <c r="J354" s="312">
        <v>1.6649087E7</v>
      </c>
      <c r="K354" s="312">
        <v>3.10231325E9</v>
      </c>
      <c r="L354" s="320"/>
      <c r="M354" s="317" t="s">
        <v>24</v>
      </c>
      <c r="N354" s="317" t="s">
        <v>845</v>
      </c>
      <c r="O354" s="316" t="s">
        <v>377</v>
      </c>
      <c r="P354" s="10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</row>
    <row r="355" ht="18.0" customHeight="1">
      <c r="A355" s="5" t="s">
        <v>16</v>
      </c>
      <c r="B355" s="318">
        <v>600000.0</v>
      </c>
      <c r="C355" s="312" t="s">
        <v>207</v>
      </c>
      <c r="D355" s="313">
        <v>46044.0</v>
      </c>
      <c r="E355" s="314">
        <v>0.3541666666666667</v>
      </c>
      <c r="F355" s="319" t="s">
        <v>846</v>
      </c>
      <c r="G355" s="312" t="s">
        <v>63</v>
      </c>
      <c r="H355" s="315" t="s">
        <v>696</v>
      </c>
      <c r="I355" s="312" t="s">
        <v>22</v>
      </c>
      <c r="J355" s="312">
        <v>1.6649087E7</v>
      </c>
      <c r="K355" s="312">
        <v>3.10231325E9</v>
      </c>
      <c r="L355" s="320"/>
      <c r="M355" s="317" t="s">
        <v>24</v>
      </c>
      <c r="N355" s="317" t="s">
        <v>845</v>
      </c>
      <c r="O355" s="316" t="s">
        <v>377</v>
      </c>
      <c r="P355" s="10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</row>
    <row r="356" ht="18.0" customHeight="1">
      <c r="A356" s="5" t="s">
        <v>16</v>
      </c>
      <c r="B356" s="318">
        <v>100000.0</v>
      </c>
      <c r="C356" s="312" t="s">
        <v>207</v>
      </c>
      <c r="D356" s="313">
        <v>46044.0</v>
      </c>
      <c r="E356" s="314">
        <v>0.375</v>
      </c>
      <c r="F356" s="315" t="s">
        <v>621</v>
      </c>
      <c r="G356" s="312" t="s">
        <v>63</v>
      </c>
      <c r="H356" s="315" t="s">
        <v>692</v>
      </c>
      <c r="I356" s="312" t="s">
        <v>22</v>
      </c>
      <c r="J356" s="312">
        <v>5.2051913E7</v>
      </c>
      <c r="K356" s="312">
        <v>3.10231325E9</v>
      </c>
      <c r="L356" s="320"/>
      <c r="M356" s="317" t="s">
        <v>24</v>
      </c>
      <c r="N356" s="317" t="s">
        <v>847</v>
      </c>
      <c r="O356" s="316" t="s">
        <v>377</v>
      </c>
      <c r="P356" s="10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</row>
    <row r="357" ht="18.0" customHeight="1">
      <c r="A357" s="5" t="s">
        <v>16</v>
      </c>
      <c r="B357" s="318">
        <v>560000.0</v>
      </c>
      <c r="C357" s="312" t="s">
        <v>207</v>
      </c>
      <c r="D357" s="313">
        <v>46044.0</v>
      </c>
      <c r="E357" s="314">
        <v>0.375</v>
      </c>
      <c r="F357" s="319" t="s">
        <v>848</v>
      </c>
      <c r="G357" s="312" t="s">
        <v>63</v>
      </c>
      <c r="H357" s="315" t="s">
        <v>692</v>
      </c>
      <c r="I357" s="312" t="s">
        <v>22</v>
      </c>
      <c r="J357" s="312">
        <v>5.2051913E7</v>
      </c>
      <c r="K357" s="312">
        <v>3.10231325E9</v>
      </c>
      <c r="L357" s="320"/>
      <c r="M357" s="317" t="s">
        <v>24</v>
      </c>
      <c r="N357" s="317" t="s">
        <v>847</v>
      </c>
      <c r="O357" s="316" t="s">
        <v>377</v>
      </c>
      <c r="P357" s="10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</row>
    <row r="358" ht="18.0" customHeight="1">
      <c r="A358" s="5" t="s">
        <v>16</v>
      </c>
      <c r="B358" s="106"/>
      <c r="C358" s="312" t="s">
        <v>207</v>
      </c>
      <c r="D358" s="313">
        <v>46044.0</v>
      </c>
      <c r="E358" s="314">
        <v>0.4166666666666667</v>
      </c>
      <c r="F358" s="315" t="s">
        <v>378</v>
      </c>
      <c r="G358" s="312" t="s">
        <v>97</v>
      </c>
      <c r="H358" s="315" t="s">
        <v>512</v>
      </c>
      <c r="I358" s="312" t="s">
        <v>22</v>
      </c>
      <c r="J358" s="312">
        <v>5.1699871E7</v>
      </c>
      <c r="K358" s="312">
        <v>3.132660742E9</v>
      </c>
      <c r="L358" s="335" t="s">
        <v>849</v>
      </c>
      <c r="M358" s="317" t="s">
        <v>24</v>
      </c>
      <c r="N358" s="317" t="s">
        <v>850</v>
      </c>
      <c r="O358" s="316" t="s">
        <v>82</v>
      </c>
      <c r="P358" s="10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</row>
    <row r="359" ht="18.0" customHeight="1">
      <c r="A359" s="5" t="s">
        <v>16</v>
      </c>
      <c r="B359" s="318">
        <v>110000.0</v>
      </c>
      <c r="C359" s="312" t="s">
        <v>207</v>
      </c>
      <c r="D359" s="313">
        <v>46044.0</v>
      </c>
      <c r="E359" s="314">
        <v>0.4166666666666667</v>
      </c>
      <c r="F359" s="319" t="s">
        <v>475</v>
      </c>
      <c r="G359" s="312" t="s">
        <v>97</v>
      </c>
      <c r="H359" s="315" t="s">
        <v>791</v>
      </c>
      <c r="I359" s="312" t="s">
        <v>22</v>
      </c>
      <c r="J359" s="312">
        <v>1.127943236E9</v>
      </c>
      <c r="K359" s="312">
        <v>3.108252422E9</v>
      </c>
      <c r="L359" s="320"/>
      <c r="M359" s="317" t="s">
        <v>24</v>
      </c>
      <c r="N359" s="317" t="s">
        <v>851</v>
      </c>
      <c r="O359" s="316" t="s">
        <v>82</v>
      </c>
      <c r="P359" s="10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</row>
    <row r="360" ht="18.0" customHeight="1">
      <c r="A360" s="5" t="s">
        <v>16</v>
      </c>
      <c r="B360" s="106"/>
      <c r="C360" s="312" t="s">
        <v>207</v>
      </c>
      <c r="D360" s="313">
        <v>46044.0</v>
      </c>
      <c r="E360" s="314">
        <v>0.4166666666666667</v>
      </c>
      <c r="F360" s="319" t="s">
        <v>852</v>
      </c>
      <c r="G360" s="334" t="s">
        <v>853</v>
      </c>
      <c r="H360" s="315" t="s">
        <v>791</v>
      </c>
      <c r="I360" s="312" t="s">
        <v>22</v>
      </c>
      <c r="J360" s="312">
        <v>1.127943236E9</v>
      </c>
      <c r="K360" s="312">
        <v>3.108252422E9</v>
      </c>
      <c r="L360" s="320"/>
      <c r="M360" s="317" t="s">
        <v>24</v>
      </c>
      <c r="N360" s="317" t="s">
        <v>851</v>
      </c>
      <c r="O360" s="316" t="s">
        <v>82</v>
      </c>
      <c r="P360" s="10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</row>
    <row r="361" ht="18.0" customHeight="1">
      <c r="A361" s="5" t="s">
        <v>16</v>
      </c>
      <c r="B361" s="106"/>
      <c r="C361" s="304" t="s">
        <v>207</v>
      </c>
      <c r="D361" s="305">
        <v>46044.0</v>
      </c>
      <c r="E361" s="306">
        <v>0.4166666666666667</v>
      </c>
      <c r="F361" s="307" t="s">
        <v>262</v>
      </c>
      <c r="G361" s="304" t="s">
        <v>20</v>
      </c>
      <c r="H361" s="307" t="s">
        <v>854</v>
      </c>
      <c r="I361" s="304" t="s">
        <v>22</v>
      </c>
      <c r="J361" s="304">
        <v>1.070326525E9</v>
      </c>
      <c r="K361" s="304">
        <v>3.002772492E9</v>
      </c>
      <c r="L361" s="339" t="s">
        <v>855</v>
      </c>
      <c r="M361" s="308" t="s">
        <v>43</v>
      </c>
      <c r="N361" s="322"/>
      <c r="O361" s="310" t="s">
        <v>31</v>
      </c>
      <c r="P361" s="10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</row>
    <row r="362" ht="18.0" customHeight="1">
      <c r="A362" s="5" t="s">
        <v>16</v>
      </c>
      <c r="B362" s="318">
        <v>150000.0</v>
      </c>
      <c r="C362" s="312" t="s">
        <v>207</v>
      </c>
      <c r="D362" s="313">
        <v>46044.0</v>
      </c>
      <c r="E362" s="314">
        <v>0.4583333333333333</v>
      </c>
      <c r="F362" s="319" t="s">
        <v>262</v>
      </c>
      <c r="G362" s="312" t="s">
        <v>20</v>
      </c>
      <c r="H362" s="315" t="s">
        <v>856</v>
      </c>
      <c r="I362" s="312" t="s">
        <v>22</v>
      </c>
      <c r="J362" s="312">
        <v>7.9629042E7</v>
      </c>
      <c r="K362" s="312">
        <v>3.153248828E9</v>
      </c>
      <c r="L362" s="320"/>
      <c r="M362" s="317" t="s">
        <v>24</v>
      </c>
      <c r="N362" s="317" t="s">
        <v>857</v>
      </c>
      <c r="O362" s="316" t="s">
        <v>82</v>
      </c>
      <c r="P362" s="10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</row>
    <row r="363" ht="18.0" customHeight="1">
      <c r="A363" s="5" t="s">
        <v>16</v>
      </c>
      <c r="B363" s="106"/>
      <c r="C363" s="312" t="s">
        <v>207</v>
      </c>
      <c r="D363" s="313">
        <v>46044.0</v>
      </c>
      <c r="E363" s="314">
        <v>0.4583333333333333</v>
      </c>
      <c r="F363" s="319" t="s">
        <v>858</v>
      </c>
      <c r="G363" s="312" t="s">
        <v>48</v>
      </c>
      <c r="H363" s="315" t="s">
        <v>501</v>
      </c>
      <c r="I363" s="312" t="s">
        <v>22</v>
      </c>
      <c r="J363" s="312">
        <v>5.1840213E7</v>
      </c>
      <c r="K363" s="312">
        <v>3.105704508E9</v>
      </c>
      <c r="L363" s="320"/>
      <c r="M363" s="317" t="s">
        <v>24</v>
      </c>
      <c r="N363" s="317" t="s">
        <v>859</v>
      </c>
      <c r="O363" s="316" t="s">
        <v>31</v>
      </c>
      <c r="P363" s="10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</row>
    <row r="364" ht="18.0" customHeight="1">
      <c r="A364" s="5" t="s">
        <v>16</v>
      </c>
      <c r="B364" s="106"/>
      <c r="C364" s="312" t="s">
        <v>207</v>
      </c>
      <c r="D364" s="313">
        <v>46044.0</v>
      </c>
      <c r="E364" s="314">
        <v>0.4583333333333333</v>
      </c>
      <c r="F364" s="319" t="s">
        <v>475</v>
      </c>
      <c r="G364" s="312" t="s">
        <v>48</v>
      </c>
      <c r="H364" s="315" t="s">
        <v>501</v>
      </c>
      <c r="I364" s="312" t="s">
        <v>22</v>
      </c>
      <c r="J364" s="312">
        <v>5.1840213E7</v>
      </c>
      <c r="K364" s="312">
        <v>3.105704508E9</v>
      </c>
      <c r="L364" s="320"/>
      <c r="M364" s="317" t="s">
        <v>24</v>
      </c>
      <c r="N364" s="317" t="s">
        <v>859</v>
      </c>
      <c r="O364" s="316" t="s">
        <v>31</v>
      </c>
      <c r="P364" s="10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</row>
    <row r="365" ht="18.0" customHeight="1">
      <c r="A365" s="5" t="s">
        <v>16</v>
      </c>
      <c r="B365" s="318">
        <v>450000.0</v>
      </c>
      <c r="C365" s="312" t="s">
        <v>207</v>
      </c>
      <c r="D365" s="313">
        <v>46044.0</v>
      </c>
      <c r="E365" s="314" t="s">
        <v>860</v>
      </c>
      <c r="F365" s="319" t="s">
        <v>55</v>
      </c>
      <c r="G365" s="312" t="s">
        <v>72</v>
      </c>
      <c r="H365" s="315" t="s">
        <v>861</v>
      </c>
      <c r="I365" s="312" t="s">
        <v>22</v>
      </c>
      <c r="J365" s="312">
        <v>3.9732107E7</v>
      </c>
      <c r="K365" s="312">
        <v>3.213479174E9</v>
      </c>
      <c r="L365" s="320" t="s">
        <v>862</v>
      </c>
      <c r="M365" s="317" t="s">
        <v>24</v>
      </c>
      <c r="N365" s="317" t="s">
        <v>863</v>
      </c>
      <c r="O365" s="316" t="s">
        <v>749</v>
      </c>
      <c r="P365" s="10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</row>
    <row r="366" ht="18.0" customHeight="1">
      <c r="A366" s="5" t="s">
        <v>16</v>
      </c>
      <c r="B366" s="106"/>
      <c r="C366" s="304" t="s">
        <v>207</v>
      </c>
      <c r="D366" s="305">
        <v>46044.0</v>
      </c>
      <c r="E366" s="306">
        <v>0.625</v>
      </c>
      <c r="F366" s="307" t="s">
        <v>55</v>
      </c>
      <c r="G366" s="304" t="s">
        <v>48</v>
      </c>
      <c r="H366" s="307" t="s">
        <v>438</v>
      </c>
      <c r="I366" s="304" t="s">
        <v>22</v>
      </c>
      <c r="J366" s="304">
        <v>1.1377135E7</v>
      </c>
      <c r="K366" s="304">
        <v>3.245949137E9</v>
      </c>
      <c r="L366" s="339"/>
      <c r="M366" s="308" t="s">
        <v>24</v>
      </c>
      <c r="N366" s="322"/>
      <c r="O366" s="310" t="s">
        <v>377</v>
      </c>
      <c r="P366" s="10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</row>
    <row r="367" ht="18.0" customHeight="1">
      <c r="A367" s="13"/>
      <c r="B367" s="345"/>
      <c r="C367" s="346"/>
      <c r="D367" s="11"/>
      <c r="E367" s="347"/>
      <c r="F367" s="348"/>
      <c r="G367" s="346"/>
      <c r="H367" s="348"/>
      <c r="I367" s="346"/>
      <c r="J367" s="346"/>
      <c r="K367" s="346"/>
      <c r="L367" s="349"/>
      <c r="M367" s="338"/>
      <c r="N367" s="338"/>
      <c r="O367" s="350"/>
      <c r="P367" s="348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  <c r="AC367" s="351"/>
      <c r="AD367" s="351"/>
      <c r="AE367" s="351"/>
      <c r="AF367" s="351"/>
      <c r="AG367" s="351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  <c r="AZ367" s="351"/>
      <c r="BA367" s="351"/>
      <c r="BB367" s="351"/>
      <c r="BC367" s="351"/>
      <c r="BD367" s="351"/>
      <c r="BE367" s="351"/>
      <c r="BF367" s="351"/>
      <c r="BG367" s="351"/>
      <c r="BH367" s="351"/>
      <c r="BI367" s="351"/>
      <c r="BJ367" s="351"/>
      <c r="BK367" s="351"/>
      <c r="BL367" s="351"/>
      <c r="BM367" s="351"/>
      <c r="BN367" s="351"/>
      <c r="BO367" s="351"/>
      <c r="BP367" s="351"/>
      <c r="BQ367" s="351"/>
      <c r="BR367" s="351"/>
      <c r="BS367" s="351"/>
      <c r="BT367" s="351"/>
      <c r="BU367" s="351"/>
      <c r="BV367" s="351"/>
      <c r="BW367" s="351"/>
      <c r="BX367" s="351"/>
      <c r="BY367" s="351"/>
      <c r="BZ367" s="351"/>
      <c r="CA367" s="351"/>
      <c r="CB367" s="351"/>
      <c r="CC367" s="351"/>
      <c r="CD367" s="351"/>
      <c r="CE367" s="351"/>
      <c r="CF367" s="351"/>
      <c r="CG367" s="351"/>
      <c r="CH367" s="351"/>
      <c r="CI367" s="351"/>
      <c r="CJ367" s="351"/>
      <c r="CK367" s="351"/>
      <c r="CL367" s="351"/>
      <c r="CM367" s="351"/>
      <c r="CN367" s="351"/>
      <c r="CO367" s="351"/>
      <c r="CP367" s="351"/>
      <c r="CQ367" s="351"/>
      <c r="CR367" s="351"/>
      <c r="CS367" s="351"/>
      <c r="CT367" s="351"/>
      <c r="CU367" s="351"/>
      <c r="CV367" s="351"/>
      <c r="CW367" s="351"/>
      <c r="CX367" s="351"/>
      <c r="CY367" s="351"/>
    </row>
    <row r="368" ht="18.0" customHeight="1">
      <c r="A368" s="5" t="s">
        <v>16</v>
      </c>
      <c r="B368" s="106"/>
      <c r="C368" s="304" t="s">
        <v>62</v>
      </c>
      <c r="D368" s="352">
        <v>46045.0</v>
      </c>
      <c r="E368" s="306">
        <v>0.3333333333333333</v>
      </c>
      <c r="F368" s="342" t="s">
        <v>475</v>
      </c>
      <c r="G368" s="343" t="s">
        <v>63</v>
      </c>
      <c r="H368" s="342" t="s">
        <v>864</v>
      </c>
      <c r="I368" s="343" t="s">
        <v>22</v>
      </c>
      <c r="J368" s="343">
        <v>5.2077724E7</v>
      </c>
      <c r="K368" s="343">
        <v>3.2262358E9</v>
      </c>
      <c r="L368" s="339" t="s">
        <v>865</v>
      </c>
      <c r="M368" s="308" t="s">
        <v>24</v>
      </c>
      <c r="N368" s="322"/>
      <c r="O368" s="339" t="s">
        <v>377</v>
      </c>
      <c r="P368" s="10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</row>
    <row r="369" ht="18.0" customHeight="1">
      <c r="A369" s="5" t="s">
        <v>16</v>
      </c>
      <c r="B369" s="106"/>
      <c r="C369" s="304" t="s">
        <v>62</v>
      </c>
      <c r="D369" s="352">
        <v>46045.0</v>
      </c>
      <c r="E369" s="306">
        <v>0.3333333333333333</v>
      </c>
      <c r="F369" s="342" t="s">
        <v>382</v>
      </c>
      <c r="G369" s="343" t="s">
        <v>63</v>
      </c>
      <c r="H369" s="342" t="s">
        <v>864</v>
      </c>
      <c r="I369" s="343" t="s">
        <v>22</v>
      </c>
      <c r="J369" s="343">
        <v>5.2077724E7</v>
      </c>
      <c r="K369" s="343">
        <v>3.2262358E9</v>
      </c>
      <c r="L369" s="310"/>
      <c r="M369" s="308" t="s">
        <v>24</v>
      </c>
      <c r="N369" s="322"/>
      <c r="O369" s="339" t="s">
        <v>377</v>
      </c>
      <c r="P369" s="10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</row>
    <row r="370" ht="18.0" customHeight="1">
      <c r="A370" s="5" t="s">
        <v>16</v>
      </c>
      <c r="B370" s="106"/>
      <c r="C370" s="304" t="s">
        <v>62</v>
      </c>
      <c r="D370" s="352">
        <v>46045.0</v>
      </c>
      <c r="E370" s="306">
        <v>0.3333333333333333</v>
      </c>
      <c r="F370" s="342" t="s">
        <v>366</v>
      </c>
      <c r="G370" s="343" t="s">
        <v>63</v>
      </c>
      <c r="H370" s="342" t="s">
        <v>864</v>
      </c>
      <c r="I370" s="343" t="s">
        <v>22</v>
      </c>
      <c r="J370" s="343">
        <v>5.2077724E7</v>
      </c>
      <c r="K370" s="343">
        <v>3.2262358E9</v>
      </c>
      <c r="L370" s="310"/>
      <c r="M370" s="308" t="s">
        <v>24</v>
      </c>
      <c r="N370" s="322"/>
      <c r="O370" s="339" t="s">
        <v>377</v>
      </c>
      <c r="P370" s="10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</row>
    <row r="371" ht="18.0" customHeight="1">
      <c r="A371" s="5" t="s">
        <v>16</v>
      </c>
      <c r="B371" s="106"/>
      <c r="C371" s="312" t="s">
        <v>62</v>
      </c>
      <c r="D371" s="313">
        <v>46045.0</v>
      </c>
      <c r="E371" s="314">
        <v>0.3333333333333333</v>
      </c>
      <c r="F371" s="319" t="s">
        <v>55</v>
      </c>
      <c r="G371" s="312" t="s">
        <v>48</v>
      </c>
      <c r="H371" s="315" t="s">
        <v>403</v>
      </c>
      <c r="I371" s="312" t="s">
        <v>22</v>
      </c>
      <c r="J371" s="312">
        <v>4.1713236E7</v>
      </c>
      <c r="K371" s="312">
        <v>3.133962403E9</v>
      </c>
      <c r="L371" s="320"/>
      <c r="M371" s="317" t="s">
        <v>24</v>
      </c>
      <c r="N371" s="317" t="s">
        <v>866</v>
      </c>
      <c r="O371" s="316" t="s">
        <v>82</v>
      </c>
      <c r="P371" s="10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</row>
    <row r="372" ht="18.0" customHeight="1">
      <c r="A372" s="5" t="s">
        <v>16</v>
      </c>
      <c r="B372" s="106"/>
      <c r="C372" s="312" t="s">
        <v>62</v>
      </c>
      <c r="D372" s="313">
        <v>46045.0</v>
      </c>
      <c r="E372" s="314">
        <v>0.3333333333333333</v>
      </c>
      <c r="F372" s="319" t="s">
        <v>547</v>
      </c>
      <c r="G372" s="312" t="s">
        <v>63</v>
      </c>
      <c r="H372" s="315" t="s">
        <v>379</v>
      </c>
      <c r="I372" s="312" t="s">
        <v>22</v>
      </c>
      <c r="J372" s="312">
        <v>7.9655441E7</v>
      </c>
      <c r="K372" s="312">
        <v>3.150584678E9</v>
      </c>
      <c r="L372" s="320"/>
      <c r="M372" s="317" t="s">
        <v>24</v>
      </c>
      <c r="N372" s="317" t="s">
        <v>867</v>
      </c>
      <c r="O372" s="316" t="s">
        <v>377</v>
      </c>
      <c r="P372" s="10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</row>
    <row r="373" ht="18.0" customHeight="1">
      <c r="A373" s="5" t="s">
        <v>16</v>
      </c>
      <c r="B373" s="106"/>
      <c r="C373" s="312" t="s">
        <v>62</v>
      </c>
      <c r="D373" s="313">
        <v>46045.0</v>
      </c>
      <c r="E373" s="314">
        <v>0.3541666666666667</v>
      </c>
      <c r="F373" s="319" t="s">
        <v>668</v>
      </c>
      <c r="G373" s="312" t="s">
        <v>48</v>
      </c>
      <c r="H373" s="315" t="s">
        <v>549</v>
      </c>
      <c r="I373" s="312" t="s">
        <v>22</v>
      </c>
      <c r="J373" s="312">
        <v>422302.0</v>
      </c>
      <c r="K373" s="312">
        <v>3.043454472E9</v>
      </c>
      <c r="L373" s="320"/>
      <c r="M373" s="317" t="s">
        <v>24</v>
      </c>
      <c r="N373" s="317" t="s">
        <v>868</v>
      </c>
      <c r="O373" s="316" t="s">
        <v>31</v>
      </c>
      <c r="P373" s="10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</row>
    <row r="374" ht="18.0" customHeight="1">
      <c r="A374" s="5" t="s">
        <v>16</v>
      </c>
      <c r="B374" s="106"/>
      <c r="C374" s="312" t="s">
        <v>62</v>
      </c>
      <c r="D374" s="313">
        <v>46045.0</v>
      </c>
      <c r="E374" s="314">
        <v>0.3541666666666667</v>
      </c>
      <c r="F374" s="319" t="s">
        <v>475</v>
      </c>
      <c r="G374" s="312" t="s">
        <v>48</v>
      </c>
      <c r="H374" s="315" t="s">
        <v>549</v>
      </c>
      <c r="I374" s="312" t="s">
        <v>22</v>
      </c>
      <c r="J374" s="312">
        <v>422302.0</v>
      </c>
      <c r="K374" s="312">
        <v>3.043454472E9</v>
      </c>
      <c r="L374" s="320"/>
      <c r="M374" s="317" t="s">
        <v>24</v>
      </c>
      <c r="N374" s="317" t="s">
        <v>868</v>
      </c>
      <c r="O374" s="316" t="s">
        <v>31</v>
      </c>
      <c r="P374" s="10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</row>
    <row r="375" ht="18.0" customHeight="1">
      <c r="A375" s="5" t="s">
        <v>16</v>
      </c>
      <c r="B375" s="106"/>
      <c r="C375" s="312" t="s">
        <v>62</v>
      </c>
      <c r="D375" s="313">
        <v>46045.0</v>
      </c>
      <c r="E375" s="314">
        <v>0.3541666666666667</v>
      </c>
      <c r="F375" s="319" t="s">
        <v>475</v>
      </c>
      <c r="G375" s="312" t="s">
        <v>63</v>
      </c>
      <c r="H375" s="315" t="s">
        <v>671</v>
      </c>
      <c r="I375" s="312" t="s">
        <v>22</v>
      </c>
      <c r="J375" s="312">
        <v>2.0743709E7</v>
      </c>
      <c r="K375" s="312">
        <v>3.15539648E9</v>
      </c>
      <c r="L375" s="320"/>
      <c r="M375" s="317" t="s">
        <v>24</v>
      </c>
      <c r="N375" s="317" t="s">
        <v>869</v>
      </c>
      <c r="O375" s="316" t="s">
        <v>31</v>
      </c>
      <c r="P375" s="10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</row>
    <row r="376" ht="18.0" customHeight="1">
      <c r="A376" s="5" t="s">
        <v>16</v>
      </c>
      <c r="B376" s="318">
        <v>260000.0</v>
      </c>
      <c r="C376" s="312" t="s">
        <v>62</v>
      </c>
      <c r="D376" s="313">
        <v>46045.0</v>
      </c>
      <c r="E376" s="314">
        <v>0.3541666666666667</v>
      </c>
      <c r="F376" s="319" t="s">
        <v>674</v>
      </c>
      <c r="G376" s="312" t="s">
        <v>63</v>
      </c>
      <c r="H376" s="315" t="s">
        <v>671</v>
      </c>
      <c r="I376" s="312" t="s">
        <v>22</v>
      </c>
      <c r="J376" s="312">
        <v>2.0743709E7</v>
      </c>
      <c r="K376" s="312">
        <v>3.15539648E9</v>
      </c>
      <c r="L376" s="320"/>
      <c r="M376" s="317" t="s">
        <v>24</v>
      </c>
      <c r="N376" s="317" t="s">
        <v>869</v>
      </c>
      <c r="O376" s="316" t="s">
        <v>31</v>
      </c>
      <c r="P376" s="10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</row>
    <row r="377" ht="18.0" customHeight="1">
      <c r="A377" s="5" t="s">
        <v>16</v>
      </c>
      <c r="B377" s="318">
        <v>60000.0</v>
      </c>
      <c r="C377" s="312" t="s">
        <v>62</v>
      </c>
      <c r="D377" s="313">
        <v>46045.0</v>
      </c>
      <c r="E377" s="314">
        <v>0.3541666666666667</v>
      </c>
      <c r="F377" s="319" t="s">
        <v>870</v>
      </c>
      <c r="G377" s="334" t="s">
        <v>483</v>
      </c>
      <c r="H377" s="315" t="s">
        <v>671</v>
      </c>
      <c r="I377" s="312" t="s">
        <v>22</v>
      </c>
      <c r="J377" s="312">
        <v>2.0743709E7</v>
      </c>
      <c r="K377" s="312">
        <v>3.15539648E9</v>
      </c>
      <c r="L377" s="320"/>
      <c r="M377" s="317" t="s">
        <v>24</v>
      </c>
      <c r="N377" s="317" t="s">
        <v>869</v>
      </c>
      <c r="O377" s="316" t="s">
        <v>31</v>
      </c>
      <c r="P377" s="10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</row>
    <row r="378" ht="18.0" customHeight="1">
      <c r="A378" s="5" t="s">
        <v>16</v>
      </c>
      <c r="B378" s="106"/>
      <c r="C378" s="312" t="s">
        <v>62</v>
      </c>
      <c r="D378" s="313">
        <v>46045.0</v>
      </c>
      <c r="E378" s="314">
        <v>0.3541666666666667</v>
      </c>
      <c r="F378" s="319" t="s">
        <v>475</v>
      </c>
      <c r="G378" s="312" t="s">
        <v>63</v>
      </c>
      <c r="H378" s="315" t="s">
        <v>553</v>
      </c>
      <c r="I378" s="312" t="s">
        <v>22</v>
      </c>
      <c r="J378" s="312">
        <v>4.0024236E7</v>
      </c>
      <c r="K378" s="312">
        <v>3.142744518E9</v>
      </c>
      <c r="L378" s="320"/>
      <c r="M378" s="317" t="s">
        <v>24</v>
      </c>
      <c r="N378" s="317" t="s">
        <v>871</v>
      </c>
      <c r="O378" s="316" t="s">
        <v>444</v>
      </c>
      <c r="P378" s="10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</row>
    <row r="379" ht="18.0" customHeight="1">
      <c r="A379" s="5" t="s">
        <v>16</v>
      </c>
      <c r="B379" s="106"/>
      <c r="C379" s="312" t="s">
        <v>62</v>
      </c>
      <c r="D379" s="313">
        <v>46045.0</v>
      </c>
      <c r="E379" s="314">
        <v>0.3541666666666667</v>
      </c>
      <c r="F379" s="319" t="s">
        <v>688</v>
      </c>
      <c r="G379" s="312" t="s">
        <v>63</v>
      </c>
      <c r="H379" s="315" t="s">
        <v>553</v>
      </c>
      <c r="I379" s="312" t="s">
        <v>22</v>
      </c>
      <c r="J379" s="312">
        <v>4.0024236E7</v>
      </c>
      <c r="K379" s="312">
        <v>3.142744518E9</v>
      </c>
      <c r="L379" s="320"/>
      <c r="M379" s="317" t="s">
        <v>24</v>
      </c>
      <c r="N379" s="317" t="s">
        <v>871</v>
      </c>
      <c r="O379" s="316" t="s">
        <v>444</v>
      </c>
      <c r="P379" s="10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</row>
    <row r="380" ht="18.0" customHeight="1">
      <c r="A380" s="5" t="s">
        <v>16</v>
      </c>
      <c r="B380" s="318">
        <v>136000.0</v>
      </c>
      <c r="C380" s="312" t="s">
        <v>62</v>
      </c>
      <c r="D380" s="313">
        <v>46045.0</v>
      </c>
      <c r="E380" s="314">
        <v>0.3541666666666667</v>
      </c>
      <c r="F380" s="319" t="s">
        <v>872</v>
      </c>
      <c r="G380" s="334" t="s">
        <v>483</v>
      </c>
      <c r="H380" s="315" t="s">
        <v>553</v>
      </c>
      <c r="I380" s="312" t="s">
        <v>22</v>
      </c>
      <c r="J380" s="312">
        <v>4.0024236E7</v>
      </c>
      <c r="K380" s="312">
        <v>3.142744518E9</v>
      </c>
      <c r="L380" s="320"/>
      <c r="M380" s="317" t="s">
        <v>24</v>
      </c>
      <c r="N380" s="317" t="s">
        <v>871</v>
      </c>
      <c r="O380" s="316" t="s">
        <v>444</v>
      </c>
      <c r="P380" s="10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</row>
    <row r="381" ht="18.0" customHeight="1">
      <c r="A381" s="5" t="s">
        <v>16</v>
      </c>
      <c r="B381" s="106"/>
      <c r="C381" s="304" t="s">
        <v>62</v>
      </c>
      <c r="D381" s="352">
        <v>46045.0</v>
      </c>
      <c r="E381" s="353">
        <v>0.3541666666666667</v>
      </c>
      <c r="F381" s="342" t="s">
        <v>262</v>
      </c>
      <c r="G381" s="343" t="s">
        <v>20</v>
      </c>
      <c r="H381" s="342" t="s">
        <v>678</v>
      </c>
      <c r="I381" s="343" t="s">
        <v>515</v>
      </c>
      <c r="J381" s="343">
        <v>1.034520218E9</v>
      </c>
      <c r="K381" s="343" t="s">
        <v>679</v>
      </c>
      <c r="L381" s="310" t="s">
        <v>873</v>
      </c>
      <c r="M381" s="308" t="s">
        <v>43</v>
      </c>
      <c r="N381" s="322"/>
      <c r="O381" s="310" t="s">
        <v>92</v>
      </c>
      <c r="P381" s="10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</row>
    <row r="382" ht="18.0" customHeight="1">
      <c r="A382" s="5" t="s">
        <v>16</v>
      </c>
      <c r="B382" s="106"/>
      <c r="C382" s="304" t="s">
        <v>62</v>
      </c>
      <c r="D382" s="352">
        <v>46045.0</v>
      </c>
      <c r="E382" s="353">
        <v>0.375</v>
      </c>
      <c r="F382" s="342" t="s">
        <v>262</v>
      </c>
      <c r="G382" s="343" t="s">
        <v>20</v>
      </c>
      <c r="H382" s="342" t="s">
        <v>874</v>
      </c>
      <c r="I382" s="343" t="s">
        <v>22</v>
      </c>
      <c r="J382" s="343">
        <v>5.1637572E7</v>
      </c>
      <c r="K382" s="343">
        <v>3.208191141E9</v>
      </c>
      <c r="L382" s="310"/>
      <c r="M382" s="308" t="s">
        <v>43</v>
      </c>
      <c r="N382" s="322"/>
      <c r="O382" s="310" t="s">
        <v>444</v>
      </c>
      <c r="P382" s="10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</row>
    <row r="383" ht="18.0" customHeight="1">
      <c r="A383" s="5" t="s">
        <v>16</v>
      </c>
      <c r="B383" s="106"/>
      <c r="C383" s="312" t="s">
        <v>62</v>
      </c>
      <c r="D383" s="313">
        <v>46045.0</v>
      </c>
      <c r="E383" s="314" t="s">
        <v>875</v>
      </c>
      <c r="F383" s="319" t="s">
        <v>475</v>
      </c>
      <c r="G383" s="312" t="s">
        <v>63</v>
      </c>
      <c r="H383" s="315" t="s">
        <v>769</v>
      </c>
      <c r="I383" s="312" t="s">
        <v>22</v>
      </c>
      <c r="J383" s="312">
        <v>5.165945E7</v>
      </c>
      <c r="K383" s="312">
        <v>3.132525209E9</v>
      </c>
      <c r="L383" s="320"/>
      <c r="M383" s="317" t="s">
        <v>24</v>
      </c>
      <c r="N383" s="317" t="s">
        <v>876</v>
      </c>
      <c r="O383" s="316" t="s">
        <v>31</v>
      </c>
      <c r="P383" s="10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</row>
    <row r="384" ht="18.0" customHeight="1">
      <c r="A384" s="5" t="s">
        <v>16</v>
      </c>
      <c r="B384" s="106"/>
      <c r="C384" s="312" t="s">
        <v>62</v>
      </c>
      <c r="D384" s="313">
        <v>46045.0</v>
      </c>
      <c r="E384" s="314" t="s">
        <v>875</v>
      </c>
      <c r="F384" s="319" t="s">
        <v>877</v>
      </c>
      <c r="G384" s="312" t="s">
        <v>97</v>
      </c>
      <c r="H384" s="315" t="s">
        <v>769</v>
      </c>
      <c r="I384" s="312" t="s">
        <v>22</v>
      </c>
      <c r="J384" s="312">
        <v>5.165945E7</v>
      </c>
      <c r="K384" s="312">
        <v>3.132525209E9</v>
      </c>
      <c r="L384" s="320"/>
      <c r="M384" s="317" t="s">
        <v>24</v>
      </c>
      <c r="N384" s="317" t="s">
        <v>876</v>
      </c>
      <c r="O384" s="316" t="s">
        <v>31</v>
      </c>
      <c r="P384" s="10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</row>
    <row r="385" ht="18.0" customHeight="1">
      <c r="A385" s="5" t="s">
        <v>16</v>
      </c>
      <c r="B385" s="318">
        <v>150000.0</v>
      </c>
      <c r="C385" s="312" t="s">
        <v>62</v>
      </c>
      <c r="D385" s="313">
        <v>46045.0</v>
      </c>
      <c r="E385" s="314" t="s">
        <v>875</v>
      </c>
      <c r="F385" s="319" t="s">
        <v>262</v>
      </c>
      <c r="G385" s="312" t="s">
        <v>20</v>
      </c>
      <c r="H385" s="315" t="s">
        <v>878</v>
      </c>
      <c r="I385" s="312" t="s">
        <v>22</v>
      </c>
      <c r="J385" s="312">
        <v>5.155458E7</v>
      </c>
      <c r="K385" s="312">
        <v>3.125433064E9</v>
      </c>
      <c r="L385" s="320"/>
      <c r="M385" s="317" t="s">
        <v>24</v>
      </c>
      <c r="N385" s="317" t="s">
        <v>879</v>
      </c>
      <c r="O385" s="316" t="s">
        <v>31</v>
      </c>
      <c r="P385" s="10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</row>
    <row r="386" ht="18.0" customHeight="1">
      <c r="A386" s="5" t="s">
        <v>16</v>
      </c>
      <c r="B386" s="318">
        <v>240000.0</v>
      </c>
      <c r="C386" s="312" t="s">
        <v>62</v>
      </c>
      <c r="D386" s="313">
        <v>46045.0</v>
      </c>
      <c r="E386" s="314" t="s">
        <v>875</v>
      </c>
      <c r="F386" s="319" t="s">
        <v>880</v>
      </c>
      <c r="G386" s="334" t="s">
        <v>483</v>
      </c>
      <c r="H386" s="315" t="s">
        <v>878</v>
      </c>
      <c r="I386" s="312" t="s">
        <v>22</v>
      </c>
      <c r="J386" s="312">
        <v>5.155458E7</v>
      </c>
      <c r="K386" s="312">
        <v>3.125433064E9</v>
      </c>
      <c r="L386" s="320"/>
      <c r="M386" s="317" t="s">
        <v>24</v>
      </c>
      <c r="N386" s="317" t="s">
        <v>879</v>
      </c>
      <c r="O386" s="316" t="s">
        <v>31</v>
      </c>
      <c r="P386" s="10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</row>
    <row r="387" ht="18.0" customHeight="1">
      <c r="A387" s="5" t="s">
        <v>16</v>
      </c>
      <c r="B387" s="318">
        <v>230000.0</v>
      </c>
      <c r="C387" s="312" t="s">
        <v>62</v>
      </c>
      <c r="D387" s="313">
        <v>46045.0</v>
      </c>
      <c r="E387" s="314" t="s">
        <v>875</v>
      </c>
      <c r="F387" s="319" t="s">
        <v>475</v>
      </c>
      <c r="G387" s="334" t="s">
        <v>628</v>
      </c>
      <c r="H387" s="315" t="s">
        <v>878</v>
      </c>
      <c r="I387" s="312" t="s">
        <v>22</v>
      </c>
      <c r="J387" s="312">
        <v>5.155458E7</v>
      </c>
      <c r="K387" s="312">
        <v>3.125433064E9</v>
      </c>
      <c r="L387" s="320"/>
      <c r="M387" s="317" t="s">
        <v>24</v>
      </c>
      <c r="N387" s="317" t="s">
        <v>879</v>
      </c>
      <c r="O387" s="316" t="s">
        <v>31</v>
      </c>
      <c r="P387" s="10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</row>
    <row r="388" ht="18.0" customHeight="1">
      <c r="A388" s="5" t="s">
        <v>16</v>
      </c>
      <c r="B388" s="318">
        <v>380000.0</v>
      </c>
      <c r="C388" s="312" t="s">
        <v>62</v>
      </c>
      <c r="D388" s="313">
        <v>46045.0</v>
      </c>
      <c r="E388" s="314" t="s">
        <v>875</v>
      </c>
      <c r="F388" s="319" t="s">
        <v>881</v>
      </c>
      <c r="G388" s="334" t="s">
        <v>628</v>
      </c>
      <c r="H388" s="315" t="s">
        <v>878</v>
      </c>
      <c r="I388" s="312" t="s">
        <v>22</v>
      </c>
      <c r="J388" s="312">
        <v>5.155458E7</v>
      </c>
      <c r="K388" s="312">
        <v>3.125433064E9</v>
      </c>
      <c r="L388" s="320"/>
      <c r="M388" s="317" t="s">
        <v>24</v>
      </c>
      <c r="N388" s="317" t="s">
        <v>879</v>
      </c>
      <c r="O388" s="316" t="s">
        <v>31</v>
      </c>
      <c r="P388" s="10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</row>
    <row r="389" ht="20.25" customHeight="1">
      <c r="A389" s="5" t="s">
        <v>16</v>
      </c>
      <c r="B389" s="106"/>
      <c r="C389" s="304" t="s">
        <v>62</v>
      </c>
      <c r="D389" s="352">
        <v>46045.0</v>
      </c>
      <c r="E389" s="306" t="s">
        <v>785</v>
      </c>
      <c r="F389" s="307" t="s">
        <v>262</v>
      </c>
      <c r="G389" s="343" t="s">
        <v>20</v>
      </c>
      <c r="H389" s="307" t="s">
        <v>882</v>
      </c>
      <c r="I389" s="304" t="s">
        <v>22</v>
      </c>
      <c r="J389" s="304">
        <v>5.2645492E7</v>
      </c>
      <c r="K389" s="304">
        <v>5.212288480122E12</v>
      </c>
      <c r="L389" s="310" t="s">
        <v>883</v>
      </c>
      <c r="M389" s="308" t="s">
        <v>43</v>
      </c>
      <c r="N389" s="322"/>
      <c r="O389" s="310" t="s">
        <v>31</v>
      </c>
      <c r="P389" s="10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</row>
    <row r="390" ht="18.0" customHeight="1">
      <c r="A390" s="5" t="s">
        <v>16</v>
      </c>
      <c r="B390" s="318">
        <v>150000.0</v>
      </c>
      <c r="C390" s="312" t="s">
        <v>62</v>
      </c>
      <c r="D390" s="313">
        <v>46045.0</v>
      </c>
      <c r="E390" s="314" t="s">
        <v>785</v>
      </c>
      <c r="F390" s="319" t="s">
        <v>262</v>
      </c>
      <c r="G390" s="334" t="s">
        <v>20</v>
      </c>
      <c r="H390" s="315" t="s">
        <v>884</v>
      </c>
      <c r="I390" s="312" t="s">
        <v>22</v>
      </c>
      <c r="J390" s="312">
        <v>2.380168E7</v>
      </c>
      <c r="K390" s="312">
        <v>3.105629301E9</v>
      </c>
      <c r="L390" s="320"/>
      <c r="M390" s="317" t="s">
        <v>24</v>
      </c>
      <c r="N390" s="317" t="s">
        <v>885</v>
      </c>
      <c r="O390" s="316" t="s">
        <v>31</v>
      </c>
      <c r="P390" s="10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</row>
    <row r="391" ht="18.0" customHeight="1">
      <c r="A391" s="5" t="s">
        <v>16</v>
      </c>
      <c r="B391" s="318">
        <v>300000.0</v>
      </c>
      <c r="C391" s="312" t="s">
        <v>62</v>
      </c>
      <c r="D391" s="313">
        <v>46045.0</v>
      </c>
      <c r="E391" s="314" t="s">
        <v>785</v>
      </c>
      <c r="F391" s="319" t="s">
        <v>886</v>
      </c>
      <c r="G391" s="334" t="s">
        <v>483</v>
      </c>
      <c r="H391" s="315" t="s">
        <v>884</v>
      </c>
      <c r="I391" s="312" t="s">
        <v>22</v>
      </c>
      <c r="J391" s="312">
        <v>2.380168E7</v>
      </c>
      <c r="K391" s="312">
        <v>3.105629301E9</v>
      </c>
      <c r="L391" s="320"/>
      <c r="M391" s="317" t="s">
        <v>24</v>
      </c>
      <c r="N391" s="317" t="s">
        <v>885</v>
      </c>
      <c r="O391" s="316" t="s">
        <v>31</v>
      </c>
      <c r="P391" s="10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</row>
    <row r="392" ht="18.0" customHeight="1">
      <c r="A392" s="5" t="s">
        <v>16</v>
      </c>
      <c r="B392" s="318">
        <v>440000.0</v>
      </c>
      <c r="C392" s="312" t="s">
        <v>62</v>
      </c>
      <c r="D392" s="313">
        <v>46045.0</v>
      </c>
      <c r="E392" s="314" t="s">
        <v>785</v>
      </c>
      <c r="F392" s="319" t="s">
        <v>475</v>
      </c>
      <c r="G392" s="334" t="s">
        <v>72</v>
      </c>
      <c r="H392" s="315" t="s">
        <v>884</v>
      </c>
      <c r="I392" s="312" t="s">
        <v>22</v>
      </c>
      <c r="J392" s="312">
        <v>2.380168E7</v>
      </c>
      <c r="K392" s="312">
        <v>3.105629301E9</v>
      </c>
      <c r="L392" s="320"/>
      <c r="M392" s="317" t="s">
        <v>24</v>
      </c>
      <c r="N392" s="317" t="s">
        <v>885</v>
      </c>
      <c r="O392" s="316" t="s">
        <v>31</v>
      </c>
      <c r="P392" s="10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</row>
    <row r="393" ht="18.0" customHeight="1">
      <c r="A393" s="5" t="s">
        <v>16</v>
      </c>
      <c r="B393" s="318">
        <v>760000.0</v>
      </c>
      <c r="C393" s="312" t="s">
        <v>62</v>
      </c>
      <c r="D393" s="313">
        <v>46045.0</v>
      </c>
      <c r="E393" s="314" t="s">
        <v>785</v>
      </c>
      <c r="F393" s="319" t="s">
        <v>887</v>
      </c>
      <c r="G393" s="334" t="s">
        <v>72</v>
      </c>
      <c r="H393" s="315" t="s">
        <v>884</v>
      </c>
      <c r="I393" s="312" t="s">
        <v>22</v>
      </c>
      <c r="J393" s="312">
        <v>2.380168E7</v>
      </c>
      <c r="K393" s="312">
        <v>3.105629301E9</v>
      </c>
      <c r="L393" s="320"/>
      <c r="M393" s="317" t="s">
        <v>24</v>
      </c>
      <c r="N393" s="317" t="s">
        <v>885</v>
      </c>
      <c r="O393" s="316" t="s">
        <v>31</v>
      </c>
      <c r="P393" s="10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</row>
    <row r="394" ht="18.0" customHeight="1">
      <c r="A394" s="5" t="s">
        <v>16</v>
      </c>
      <c r="B394" s="106"/>
      <c r="C394" s="304" t="s">
        <v>62</v>
      </c>
      <c r="D394" s="352">
        <v>46045.0</v>
      </c>
      <c r="E394" s="306" t="s">
        <v>875</v>
      </c>
      <c r="F394" s="307" t="s">
        <v>745</v>
      </c>
      <c r="G394" s="343" t="s">
        <v>853</v>
      </c>
      <c r="H394" s="307" t="s">
        <v>747</v>
      </c>
      <c r="I394" s="304" t="s">
        <v>22</v>
      </c>
      <c r="J394" s="304">
        <v>6758046.0</v>
      </c>
      <c r="K394" s="304">
        <v>3.156327706E9</v>
      </c>
      <c r="L394" s="310"/>
      <c r="M394" s="308" t="s">
        <v>43</v>
      </c>
      <c r="N394" s="322"/>
      <c r="O394" s="310" t="s">
        <v>749</v>
      </c>
      <c r="P394" s="10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</row>
    <row r="395" ht="18.0" customHeight="1">
      <c r="A395" s="5" t="s">
        <v>16</v>
      </c>
      <c r="B395" s="318">
        <v>150000.0</v>
      </c>
      <c r="C395" s="312" t="s">
        <v>62</v>
      </c>
      <c r="D395" s="313">
        <v>46045.0</v>
      </c>
      <c r="E395" s="334" t="s">
        <v>888</v>
      </c>
      <c r="F395" s="319" t="s">
        <v>262</v>
      </c>
      <c r="G395" s="334" t="s">
        <v>20</v>
      </c>
      <c r="H395" s="315" t="s">
        <v>889</v>
      </c>
      <c r="I395" s="312" t="s">
        <v>22</v>
      </c>
      <c r="J395" s="312">
        <v>5449715.0</v>
      </c>
      <c r="K395" s="312">
        <v>3.123125191E9</v>
      </c>
      <c r="L395" s="320"/>
      <c r="M395" s="317" t="s">
        <v>24</v>
      </c>
      <c r="N395" s="317" t="s">
        <v>890</v>
      </c>
      <c r="O395" s="316" t="s">
        <v>31</v>
      </c>
      <c r="P395" s="10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</row>
    <row r="396" ht="18.0" customHeight="1">
      <c r="A396" s="5" t="s">
        <v>16</v>
      </c>
      <c r="B396" s="318">
        <v>180000.0</v>
      </c>
      <c r="C396" s="312" t="s">
        <v>62</v>
      </c>
      <c r="D396" s="313">
        <v>46045.0</v>
      </c>
      <c r="E396" s="334" t="s">
        <v>888</v>
      </c>
      <c r="F396" s="319" t="s">
        <v>891</v>
      </c>
      <c r="G396" s="334" t="s">
        <v>483</v>
      </c>
      <c r="H396" s="315" t="s">
        <v>889</v>
      </c>
      <c r="I396" s="312" t="s">
        <v>22</v>
      </c>
      <c r="J396" s="312">
        <v>5449715.0</v>
      </c>
      <c r="K396" s="312">
        <v>3.123125191E9</v>
      </c>
      <c r="L396" s="320"/>
      <c r="M396" s="317" t="s">
        <v>24</v>
      </c>
      <c r="N396" s="317" t="s">
        <v>890</v>
      </c>
      <c r="O396" s="316" t="s">
        <v>31</v>
      </c>
      <c r="P396" s="10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</row>
    <row r="397" ht="18.0" customHeight="1">
      <c r="A397" s="5" t="s">
        <v>16</v>
      </c>
      <c r="B397" s="318">
        <v>760000.0</v>
      </c>
      <c r="C397" s="312" t="s">
        <v>62</v>
      </c>
      <c r="D397" s="313">
        <v>46045.0</v>
      </c>
      <c r="E397" s="334" t="s">
        <v>888</v>
      </c>
      <c r="F397" s="319" t="s">
        <v>892</v>
      </c>
      <c r="G397" s="334" t="s">
        <v>72</v>
      </c>
      <c r="H397" s="315" t="s">
        <v>889</v>
      </c>
      <c r="I397" s="312" t="s">
        <v>22</v>
      </c>
      <c r="J397" s="312">
        <v>5449715.0</v>
      </c>
      <c r="K397" s="312">
        <v>3.123125191E9</v>
      </c>
      <c r="L397" s="320"/>
      <c r="M397" s="317" t="s">
        <v>24</v>
      </c>
      <c r="N397" s="317" t="s">
        <v>890</v>
      </c>
      <c r="O397" s="316" t="s">
        <v>31</v>
      </c>
      <c r="P397" s="10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</row>
    <row r="398" ht="18.0" customHeight="1">
      <c r="A398" s="5" t="s">
        <v>16</v>
      </c>
      <c r="B398" s="106"/>
      <c r="C398" s="312" t="s">
        <v>62</v>
      </c>
      <c r="D398" s="313">
        <v>46045.0</v>
      </c>
      <c r="E398" s="314" t="s">
        <v>860</v>
      </c>
      <c r="F398" s="319" t="s">
        <v>366</v>
      </c>
      <c r="G398" s="334" t="s">
        <v>97</v>
      </c>
      <c r="H398" s="315" t="s">
        <v>644</v>
      </c>
      <c r="I398" s="312" t="s">
        <v>22</v>
      </c>
      <c r="J398" s="312">
        <v>1.013654785E9</v>
      </c>
      <c r="K398" s="312">
        <v>3.114916115E9</v>
      </c>
      <c r="L398" s="335" t="s">
        <v>893</v>
      </c>
      <c r="M398" s="317" t="s">
        <v>24</v>
      </c>
      <c r="N398" s="317" t="s">
        <v>894</v>
      </c>
      <c r="O398" s="316" t="s">
        <v>377</v>
      </c>
      <c r="P398" s="10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</row>
    <row r="399" ht="18.0" customHeight="1">
      <c r="A399" s="5" t="s">
        <v>16</v>
      </c>
      <c r="B399" s="106"/>
      <c r="C399" s="312" t="s">
        <v>62</v>
      </c>
      <c r="D399" s="313">
        <v>46045.0</v>
      </c>
      <c r="E399" s="314" t="s">
        <v>860</v>
      </c>
      <c r="F399" s="319" t="s">
        <v>647</v>
      </c>
      <c r="G399" s="334" t="s">
        <v>97</v>
      </c>
      <c r="H399" s="315" t="s">
        <v>644</v>
      </c>
      <c r="I399" s="312" t="s">
        <v>22</v>
      </c>
      <c r="J399" s="312">
        <v>1.013654785E9</v>
      </c>
      <c r="K399" s="312">
        <v>3.114916115E9</v>
      </c>
      <c r="L399" s="335" t="s">
        <v>895</v>
      </c>
      <c r="M399" s="317" t="s">
        <v>24</v>
      </c>
      <c r="N399" s="317" t="s">
        <v>894</v>
      </c>
      <c r="O399" s="316" t="s">
        <v>377</v>
      </c>
      <c r="P399" s="10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</row>
    <row r="400" ht="18.0" customHeight="1">
      <c r="A400" s="13"/>
      <c r="B400" s="106"/>
      <c r="C400" s="13"/>
      <c r="D400" s="108"/>
      <c r="E400" s="354"/>
      <c r="F400" s="10"/>
      <c r="G400" s="111"/>
      <c r="H400" s="10"/>
      <c r="I400" s="13"/>
      <c r="J400" s="13"/>
      <c r="K400" s="13"/>
      <c r="L400" s="355"/>
      <c r="M400" s="356"/>
      <c r="N400" s="356"/>
      <c r="O400" s="355"/>
      <c r="P400" s="10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</row>
    <row r="401" ht="18.0" customHeight="1">
      <c r="A401" s="5" t="s">
        <v>16</v>
      </c>
      <c r="B401" s="318">
        <v>550000.0</v>
      </c>
      <c r="C401" s="312" t="s">
        <v>285</v>
      </c>
      <c r="D401" s="313">
        <v>46046.0</v>
      </c>
      <c r="E401" s="357">
        <v>0.3333333333333333</v>
      </c>
      <c r="F401" s="319" t="s">
        <v>378</v>
      </c>
      <c r="G401" s="334" t="s">
        <v>72</v>
      </c>
      <c r="H401" s="315" t="s">
        <v>896</v>
      </c>
      <c r="I401" s="312" t="s">
        <v>22</v>
      </c>
      <c r="J401" s="312">
        <v>3.9545195E7</v>
      </c>
      <c r="K401" s="312">
        <v>3.10207571E9</v>
      </c>
      <c r="L401" s="320"/>
      <c r="M401" s="317" t="s">
        <v>24</v>
      </c>
      <c r="N401" s="317" t="s">
        <v>897</v>
      </c>
      <c r="O401" s="316" t="s">
        <v>220</v>
      </c>
      <c r="P401" s="10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</row>
    <row r="402" ht="18.0" customHeight="1">
      <c r="A402" s="5" t="s">
        <v>16</v>
      </c>
      <c r="B402" s="318">
        <v>550000.0</v>
      </c>
      <c r="C402" s="312" t="s">
        <v>285</v>
      </c>
      <c r="D402" s="313">
        <v>46046.0</v>
      </c>
      <c r="E402" s="314">
        <v>0.3333333333333333</v>
      </c>
      <c r="F402" s="319" t="s">
        <v>55</v>
      </c>
      <c r="G402" s="334" t="s">
        <v>72</v>
      </c>
      <c r="H402" s="315" t="s">
        <v>898</v>
      </c>
      <c r="I402" s="312" t="s">
        <v>22</v>
      </c>
      <c r="J402" s="312">
        <v>8.0919302E7</v>
      </c>
      <c r="K402" s="312">
        <v>3.20226287E9</v>
      </c>
      <c r="L402" s="335"/>
      <c r="M402" s="317" t="s">
        <v>24</v>
      </c>
      <c r="N402" s="317" t="s">
        <v>899</v>
      </c>
      <c r="O402" s="316" t="s">
        <v>92</v>
      </c>
      <c r="P402" s="10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</row>
    <row r="403" ht="18.0" customHeight="1">
      <c r="A403" s="5" t="s">
        <v>16</v>
      </c>
      <c r="B403" s="106"/>
      <c r="C403" s="312" t="s">
        <v>285</v>
      </c>
      <c r="D403" s="313">
        <v>46046.0</v>
      </c>
      <c r="E403" s="314">
        <v>0.375</v>
      </c>
      <c r="F403" s="319" t="s">
        <v>378</v>
      </c>
      <c r="G403" s="334" t="s">
        <v>97</v>
      </c>
      <c r="H403" s="315" t="s">
        <v>775</v>
      </c>
      <c r="I403" s="312" t="s">
        <v>22</v>
      </c>
      <c r="J403" s="312">
        <v>4.1647472E7</v>
      </c>
      <c r="K403" s="312">
        <v>3.156743978E9</v>
      </c>
      <c r="L403" s="335"/>
      <c r="M403" s="317" t="s">
        <v>24</v>
      </c>
      <c r="N403" s="317" t="s">
        <v>900</v>
      </c>
      <c r="O403" s="316" t="s">
        <v>92</v>
      </c>
      <c r="P403" s="10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</row>
    <row r="404" ht="18.0" customHeight="1">
      <c r="A404" s="5" t="s">
        <v>16</v>
      </c>
      <c r="B404" s="318">
        <v>680000.0</v>
      </c>
      <c r="C404" s="312" t="s">
        <v>285</v>
      </c>
      <c r="D404" s="313">
        <v>46046.0</v>
      </c>
      <c r="E404" s="314">
        <v>0.375</v>
      </c>
      <c r="F404" s="319" t="s">
        <v>901</v>
      </c>
      <c r="G404" s="334" t="s">
        <v>72</v>
      </c>
      <c r="H404" s="315" t="s">
        <v>724</v>
      </c>
      <c r="I404" s="312" t="s">
        <v>22</v>
      </c>
      <c r="J404" s="312">
        <v>7.9895917E7</v>
      </c>
      <c r="K404" s="312">
        <v>3.152945156E9</v>
      </c>
      <c r="L404" s="320"/>
      <c r="M404" s="321" t="s">
        <v>24</v>
      </c>
      <c r="N404" s="317" t="s">
        <v>902</v>
      </c>
      <c r="O404" s="316" t="s">
        <v>92</v>
      </c>
      <c r="P404" s="10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</row>
    <row r="405" ht="18.0" customHeight="1">
      <c r="A405" s="5" t="s">
        <v>16</v>
      </c>
      <c r="B405" s="318">
        <v>60000.0</v>
      </c>
      <c r="C405" s="312" t="s">
        <v>285</v>
      </c>
      <c r="D405" s="313">
        <v>46046.0</v>
      </c>
      <c r="E405" s="314">
        <v>0.375</v>
      </c>
      <c r="F405" s="319" t="s">
        <v>903</v>
      </c>
      <c r="G405" s="334" t="s">
        <v>483</v>
      </c>
      <c r="H405" s="315" t="s">
        <v>724</v>
      </c>
      <c r="I405" s="312" t="s">
        <v>22</v>
      </c>
      <c r="J405" s="312">
        <v>7.9895917E7</v>
      </c>
      <c r="K405" s="312">
        <v>3.152945156E9</v>
      </c>
      <c r="L405" s="320"/>
      <c r="M405" s="321" t="s">
        <v>24</v>
      </c>
      <c r="N405" s="317" t="s">
        <v>902</v>
      </c>
      <c r="O405" s="316" t="s">
        <v>92</v>
      </c>
      <c r="P405" s="10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</row>
    <row r="406" ht="18.0" customHeight="1">
      <c r="A406" s="5" t="s">
        <v>16</v>
      </c>
      <c r="B406" s="318">
        <v>760000.0</v>
      </c>
      <c r="C406" s="312" t="s">
        <v>285</v>
      </c>
      <c r="D406" s="313">
        <v>46046.0</v>
      </c>
      <c r="E406" s="314">
        <v>0.375</v>
      </c>
      <c r="F406" s="319" t="s">
        <v>904</v>
      </c>
      <c r="G406" s="334" t="s">
        <v>72</v>
      </c>
      <c r="H406" s="315" t="s">
        <v>727</v>
      </c>
      <c r="I406" s="312" t="s">
        <v>22</v>
      </c>
      <c r="J406" s="312">
        <v>1.03058422E9</v>
      </c>
      <c r="K406" s="312">
        <v>3.132462583E9</v>
      </c>
      <c r="L406" s="320"/>
      <c r="M406" s="321" t="s">
        <v>710</v>
      </c>
      <c r="N406" s="317" t="s">
        <v>905</v>
      </c>
      <c r="O406" s="316" t="s">
        <v>92</v>
      </c>
      <c r="P406" s="10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</row>
    <row r="407" ht="18.0" customHeight="1">
      <c r="A407" s="5" t="s">
        <v>16</v>
      </c>
      <c r="B407" s="318">
        <v>120000.0</v>
      </c>
      <c r="C407" s="312" t="s">
        <v>285</v>
      </c>
      <c r="D407" s="313">
        <v>46046.0</v>
      </c>
      <c r="E407" s="314">
        <v>0.375</v>
      </c>
      <c r="F407" s="319" t="s">
        <v>906</v>
      </c>
      <c r="G407" s="334" t="s">
        <v>483</v>
      </c>
      <c r="H407" s="315" t="s">
        <v>727</v>
      </c>
      <c r="I407" s="312" t="s">
        <v>22</v>
      </c>
      <c r="J407" s="312">
        <v>1.03058422E9</v>
      </c>
      <c r="K407" s="312">
        <v>3.132462583E9</v>
      </c>
      <c r="L407" s="320"/>
      <c r="M407" s="321" t="s">
        <v>710</v>
      </c>
      <c r="N407" s="317" t="s">
        <v>905</v>
      </c>
      <c r="O407" s="316" t="s">
        <v>92</v>
      </c>
      <c r="P407" s="10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</row>
    <row r="408" ht="18.0" customHeight="1">
      <c r="A408" s="5" t="s">
        <v>16</v>
      </c>
      <c r="B408" s="318">
        <v>150000.0</v>
      </c>
      <c r="C408" s="312" t="s">
        <v>285</v>
      </c>
      <c r="D408" s="313">
        <v>46046.0</v>
      </c>
      <c r="E408" s="314">
        <v>0.375</v>
      </c>
      <c r="F408" s="319" t="s">
        <v>715</v>
      </c>
      <c r="G408" s="334" t="s">
        <v>97</v>
      </c>
      <c r="H408" s="315" t="s">
        <v>712</v>
      </c>
      <c r="I408" s="312" t="s">
        <v>22</v>
      </c>
      <c r="J408" s="312">
        <v>1.0214031E9</v>
      </c>
      <c r="K408" s="312">
        <v>3.002675984E9</v>
      </c>
      <c r="L408" s="320" t="s">
        <v>530</v>
      </c>
      <c r="M408" s="321" t="s">
        <v>710</v>
      </c>
      <c r="N408" s="317" t="s">
        <v>907</v>
      </c>
      <c r="O408" s="316" t="s">
        <v>92</v>
      </c>
      <c r="P408" s="10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</row>
    <row r="409" ht="18.0" customHeight="1">
      <c r="A409" s="5" t="s">
        <v>16</v>
      </c>
      <c r="B409" s="106"/>
      <c r="C409" s="312" t="s">
        <v>285</v>
      </c>
      <c r="D409" s="313">
        <v>46046.0</v>
      </c>
      <c r="E409" s="314">
        <v>0.375</v>
      </c>
      <c r="F409" s="319" t="s">
        <v>908</v>
      </c>
      <c r="G409" s="334" t="s">
        <v>63</v>
      </c>
      <c r="H409" s="315" t="s">
        <v>541</v>
      </c>
      <c r="I409" s="312" t="s">
        <v>22</v>
      </c>
      <c r="J409" s="312">
        <v>3.9306315E7</v>
      </c>
      <c r="K409" s="312">
        <v>3.023876555E9</v>
      </c>
      <c r="L409" s="335"/>
      <c r="M409" s="321" t="s">
        <v>710</v>
      </c>
      <c r="N409" s="317" t="s">
        <v>909</v>
      </c>
      <c r="O409" s="316" t="s">
        <v>31</v>
      </c>
      <c r="P409" s="10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</row>
    <row r="410" ht="18.0" customHeight="1">
      <c r="A410" s="5" t="s">
        <v>16</v>
      </c>
      <c r="B410" s="318">
        <v>440000.0</v>
      </c>
      <c r="C410" s="312" t="s">
        <v>285</v>
      </c>
      <c r="D410" s="313">
        <v>46046.0</v>
      </c>
      <c r="E410" s="314">
        <v>0.375</v>
      </c>
      <c r="F410" s="319" t="s">
        <v>475</v>
      </c>
      <c r="G410" s="334" t="s">
        <v>72</v>
      </c>
      <c r="H410" s="315" t="s">
        <v>541</v>
      </c>
      <c r="I410" s="312" t="s">
        <v>22</v>
      </c>
      <c r="J410" s="312">
        <v>3.9306315E7</v>
      </c>
      <c r="K410" s="312">
        <v>3.023876555E9</v>
      </c>
      <c r="L410" s="335"/>
      <c r="M410" s="321" t="s">
        <v>710</v>
      </c>
      <c r="N410" s="317" t="s">
        <v>909</v>
      </c>
      <c r="O410" s="316" t="s">
        <v>31</v>
      </c>
      <c r="P410" s="10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</row>
    <row r="411" ht="18.0" customHeight="1">
      <c r="A411" s="5" t="s">
        <v>16</v>
      </c>
      <c r="B411" s="106"/>
      <c r="C411" s="312" t="s">
        <v>285</v>
      </c>
      <c r="D411" s="313">
        <v>46046.0</v>
      </c>
      <c r="E411" s="314">
        <v>0.375</v>
      </c>
      <c r="F411" s="319" t="s">
        <v>910</v>
      </c>
      <c r="G411" s="334" t="s">
        <v>48</v>
      </c>
      <c r="H411" s="315" t="s">
        <v>911</v>
      </c>
      <c r="I411" s="312" t="s">
        <v>22</v>
      </c>
      <c r="J411" s="312">
        <v>5.1671813E7</v>
      </c>
      <c r="K411" s="312">
        <v>3.204041635E9</v>
      </c>
      <c r="L411" s="335"/>
      <c r="M411" s="321" t="s">
        <v>24</v>
      </c>
      <c r="N411" s="317" t="s">
        <v>912</v>
      </c>
      <c r="O411" s="316" t="s">
        <v>377</v>
      </c>
      <c r="P411" s="10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</row>
    <row r="412" ht="18.0" customHeight="1">
      <c r="A412" s="5" t="s">
        <v>16</v>
      </c>
      <c r="B412" s="106"/>
      <c r="C412" s="312" t="s">
        <v>285</v>
      </c>
      <c r="D412" s="313">
        <v>46046.0</v>
      </c>
      <c r="E412" s="314">
        <v>0.4166666666666667</v>
      </c>
      <c r="F412" s="319" t="s">
        <v>475</v>
      </c>
      <c r="G412" s="334" t="s">
        <v>97</v>
      </c>
      <c r="H412" s="315" t="s">
        <v>884</v>
      </c>
      <c r="I412" s="312" t="s">
        <v>22</v>
      </c>
      <c r="J412" s="312">
        <v>2.380168E7</v>
      </c>
      <c r="K412" s="312">
        <v>3.105629301E9</v>
      </c>
      <c r="L412" s="335"/>
      <c r="M412" s="321" t="s">
        <v>24</v>
      </c>
      <c r="N412" s="317" t="s">
        <v>913</v>
      </c>
      <c r="O412" s="316" t="s">
        <v>31</v>
      </c>
      <c r="P412" s="10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</row>
    <row r="413" ht="18.0" customHeight="1">
      <c r="A413" s="5" t="s">
        <v>16</v>
      </c>
      <c r="B413" s="106"/>
      <c r="C413" s="312" t="s">
        <v>285</v>
      </c>
      <c r="D413" s="313">
        <v>46046.0</v>
      </c>
      <c r="E413" s="314">
        <v>0.4166666666666667</v>
      </c>
      <c r="F413" s="319" t="s">
        <v>914</v>
      </c>
      <c r="G413" s="334" t="s">
        <v>343</v>
      </c>
      <c r="H413" s="315" t="s">
        <v>884</v>
      </c>
      <c r="I413" s="312" t="s">
        <v>22</v>
      </c>
      <c r="J413" s="312">
        <v>2.380168E7</v>
      </c>
      <c r="K413" s="312">
        <v>3.105629301E9</v>
      </c>
      <c r="L413" s="335" t="s">
        <v>915</v>
      </c>
      <c r="M413" s="321" t="s">
        <v>24</v>
      </c>
      <c r="N413" s="317" t="s">
        <v>913</v>
      </c>
      <c r="O413" s="316" t="s">
        <v>31</v>
      </c>
      <c r="P413" s="10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</row>
    <row r="414" ht="18.0" customHeight="1">
      <c r="A414" s="5" t="s">
        <v>16</v>
      </c>
      <c r="B414" s="318">
        <v>60000.0</v>
      </c>
      <c r="C414" s="312" t="s">
        <v>285</v>
      </c>
      <c r="D414" s="313">
        <v>46046.0</v>
      </c>
      <c r="E414" s="314">
        <v>0.4166666666666667</v>
      </c>
      <c r="F414" s="319" t="s">
        <v>916</v>
      </c>
      <c r="G414" s="334" t="s">
        <v>483</v>
      </c>
      <c r="H414" s="315" t="s">
        <v>884</v>
      </c>
      <c r="I414" s="312" t="s">
        <v>22</v>
      </c>
      <c r="J414" s="312">
        <v>2.380168E7</v>
      </c>
      <c r="K414" s="312">
        <v>3.105629301E9</v>
      </c>
      <c r="L414" s="335"/>
      <c r="M414" s="321" t="s">
        <v>24</v>
      </c>
      <c r="N414" s="317" t="s">
        <v>913</v>
      </c>
      <c r="O414" s="316" t="s">
        <v>31</v>
      </c>
      <c r="P414" s="10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</row>
    <row r="415" ht="18.0" customHeight="1">
      <c r="A415" s="5" t="s">
        <v>16</v>
      </c>
      <c r="B415" s="106"/>
      <c r="C415" s="312" t="s">
        <v>285</v>
      </c>
      <c r="D415" s="313">
        <v>46046.0</v>
      </c>
      <c r="E415" s="314">
        <v>0.4166666666666667</v>
      </c>
      <c r="F415" s="319" t="s">
        <v>55</v>
      </c>
      <c r="G415" s="334" t="s">
        <v>48</v>
      </c>
      <c r="H415" s="315" t="s">
        <v>419</v>
      </c>
      <c r="I415" s="312" t="s">
        <v>22</v>
      </c>
      <c r="J415" s="312">
        <v>1.030559123E9</v>
      </c>
      <c r="K415" s="312">
        <v>3.105889136E9</v>
      </c>
      <c r="L415" s="335"/>
      <c r="M415" s="321" t="s">
        <v>24</v>
      </c>
      <c r="N415" s="317" t="s">
        <v>917</v>
      </c>
      <c r="O415" s="316" t="s">
        <v>82</v>
      </c>
      <c r="P415" s="10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</row>
    <row r="416" ht="18.0" customHeight="1">
      <c r="A416" s="5" t="s">
        <v>16</v>
      </c>
      <c r="B416" s="106"/>
      <c r="C416" s="312" t="s">
        <v>285</v>
      </c>
      <c r="D416" s="313">
        <v>46046.0</v>
      </c>
      <c r="E416" s="314">
        <v>0.4166666666666667</v>
      </c>
      <c r="F416" s="319" t="s">
        <v>508</v>
      </c>
      <c r="G416" s="334" t="s">
        <v>63</v>
      </c>
      <c r="H416" s="315" t="s">
        <v>419</v>
      </c>
      <c r="I416" s="312" t="s">
        <v>22</v>
      </c>
      <c r="J416" s="312">
        <v>1.030559123E9</v>
      </c>
      <c r="K416" s="312">
        <v>3.105889136E9</v>
      </c>
      <c r="L416" s="335"/>
      <c r="M416" s="321" t="s">
        <v>24</v>
      </c>
      <c r="N416" s="317" t="s">
        <v>917</v>
      </c>
      <c r="O416" s="316" t="s">
        <v>82</v>
      </c>
      <c r="P416" s="10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</row>
    <row r="417" ht="18.0" customHeight="1">
      <c r="A417" s="5" t="s">
        <v>16</v>
      </c>
      <c r="B417" s="106"/>
      <c r="C417" s="312" t="s">
        <v>285</v>
      </c>
      <c r="D417" s="313">
        <v>46046.0</v>
      </c>
      <c r="E417" s="314" t="s">
        <v>875</v>
      </c>
      <c r="F417" s="319" t="s">
        <v>745</v>
      </c>
      <c r="G417" s="334" t="s">
        <v>853</v>
      </c>
      <c r="H417" s="315" t="s">
        <v>747</v>
      </c>
      <c r="I417" s="312" t="s">
        <v>22</v>
      </c>
      <c r="J417" s="312">
        <v>6758046.0</v>
      </c>
      <c r="K417" s="312">
        <v>3.156327706E9</v>
      </c>
      <c r="L417" s="335"/>
      <c r="M417" s="321" t="s">
        <v>24</v>
      </c>
      <c r="N417" s="317" t="s">
        <v>918</v>
      </c>
      <c r="O417" s="316" t="s">
        <v>749</v>
      </c>
      <c r="P417" s="10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</row>
    <row r="418" ht="18.0" customHeight="1">
      <c r="A418" s="5" t="s">
        <v>16</v>
      </c>
      <c r="B418" s="318">
        <v>150000.0</v>
      </c>
      <c r="C418" s="312" t="s">
        <v>285</v>
      </c>
      <c r="D418" s="313">
        <v>46046.0</v>
      </c>
      <c r="E418" s="314">
        <v>0.4166666666666667</v>
      </c>
      <c r="F418" s="319" t="s">
        <v>262</v>
      </c>
      <c r="G418" s="334" t="s">
        <v>127</v>
      </c>
      <c r="H418" s="315" t="s">
        <v>919</v>
      </c>
      <c r="I418" s="312" t="s">
        <v>22</v>
      </c>
      <c r="J418" s="312">
        <v>7.9315892E7</v>
      </c>
      <c r="K418" s="312">
        <v>3.222170834E9</v>
      </c>
      <c r="L418" s="320"/>
      <c r="M418" s="321" t="s">
        <v>24</v>
      </c>
      <c r="N418" s="317" t="s">
        <v>920</v>
      </c>
      <c r="O418" s="316" t="s">
        <v>569</v>
      </c>
      <c r="P418" s="10" t="s">
        <v>118</v>
      </c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</row>
    <row r="419" ht="18.0" customHeight="1">
      <c r="A419" s="5" t="s">
        <v>16</v>
      </c>
      <c r="B419" s="318">
        <v>120000.0</v>
      </c>
      <c r="C419" s="312" t="s">
        <v>285</v>
      </c>
      <c r="D419" s="313">
        <v>46046.0</v>
      </c>
      <c r="E419" s="314">
        <v>0.4166666666666667</v>
      </c>
      <c r="F419" s="319" t="s">
        <v>921</v>
      </c>
      <c r="G419" s="334" t="s">
        <v>483</v>
      </c>
      <c r="H419" s="315" t="s">
        <v>919</v>
      </c>
      <c r="I419" s="312" t="s">
        <v>22</v>
      </c>
      <c r="J419" s="312">
        <v>7.9315892E7</v>
      </c>
      <c r="K419" s="312">
        <v>3.222170834E9</v>
      </c>
      <c r="L419" s="335"/>
      <c r="M419" s="321" t="s">
        <v>24</v>
      </c>
      <c r="N419" s="317" t="s">
        <v>920</v>
      </c>
      <c r="O419" s="316" t="s">
        <v>569</v>
      </c>
      <c r="P419" s="10" t="s">
        <v>118</v>
      </c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</row>
    <row r="420" ht="18.0" customHeight="1">
      <c r="A420" s="5" t="s">
        <v>16</v>
      </c>
      <c r="B420" s="318">
        <v>220000.0</v>
      </c>
      <c r="C420" s="312" t="s">
        <v>285</v>
      </c>
      <c r="D420" s="313">
        <v>46046.0</v>
      </c>
      <c r="E420" s="314">
        <v>0.4166666666666667</v>
      </c>
      <c r="F420" s="319" t="s">
        <v>475</v>
      </c>
      <c r="G420" s="334" t="s">
        <v>628</v>
      </c>
      <c r="H420" s="315" t="s">
        <v>919</v>
      </c>
      <c r="I420" s="312" t="s">
        <v>22</v>
      </c>
      <c r="J420" s="312">
        <v>7.9315892E7</v>
      </c>
      <c r="K420" s="312">
        <v>3.222170834E9</v>
      </c>
      <c r="L420" s="320" t="s">
        <v>922</v>
      </c>
      <c r="M420" s="321" t="s">
        <v>24</v>
      </c>
      <c r="N420" s="317" t="s">
        <v>920</v>
      </c>
      <c r="O420" s="316" t="s">
        <v>569</v>
      </c>
      <c r="P420" s="10" t="s">
        <v>118</v>
      </c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</row>
    <row r="421" ht="18.0" customHeight="1">
      <c r="A421" s="5" t="s">
        <v>16</v>
      </c>
      <c r="B421" s="318">
        <v>380000.0</v>
      </c>
      <c r="C421" s="312" t="s">
        <v>285</v>
      </c>
      <c r="D421" s="313">
        <v>46046.0</v>
      </c>
      <c r="E421" s="314">
        <v>0.4166666666666667</v>
      </c>
      <c r="F421" s="319" t="s">
        <v>923</v>
      </c>
      <c r="G421" s="334" t="s">
        <v>628</v>
      </c>
      <c r="H421" s="315" t="s">
        <v>919</v>
      </c>
      <c r="I421" s="312" t="s">
        <v>22</v>
      </c>
      <c r="J421" s="312">
        <v>7.9315892E7</v>
      </c>
      <c r="K421" s="312">
        <v>3.222170834E9</v>
      </c>
      <c r="L421" s="320"/>
      <c r="M421" s="321" t="s">
        <v>24</v>
      </c>
      <c r="N421" s="317" t="s">
        <v>920</v>
      </c>
      <c r="O421" s="316" t="s">
        <v>569</v>
      </c>
      <c r="P421" s="10" t="s">
        <v>118</v>
      </c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</row>
    <row r="422" ht="18.0" customHeight="1">
      <c r="A422" s="5" t="s">
        <v>16</v>
      </c>
      <c r="B422" s="106"/>
      <c r="C422" s="304" t="s">
        <v>285</v>
      </c>
      <c r="D422" s="352">
        <v>46046.0</v>
      </c>
      <c r="E422" s="306">
        <v>0.4583333333333333</v>
      </c>
      <c r="F422" s="307" t="s">
        <v>526</v>
      </c>
      <c r="G422" s="343" t="s">
        <v>127</v>
      </c>
      <c r="H422" s="307" t="s">
        <v>491</v>
      </c>
      <c r="I422" s="304" t="s">
        <v>22</v>
      </c>
      <c r="J422" s="304">
        <v>3.9666937E7</v>
      </c>
      <c r="K422" s="304">
        <v>3.192871588E9</v>
      </c>
      <c r="L422" s="339" t="s">
        <v>842</v>
      </c>
      <c r="M422" s="308" t="s">
        <v>43</v>
      </c>
      <c r="N422" s="322"/>
      <c r="O422" s="310" t="s">
        <v>31</v>
      </c>
      <c r="P422" s="10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</row>
    <row r="423" ht="18.0" customHeight="1">
      <c r="A423" s="5" t="s">
        <v>16</v>
      </c>
      <c r="B423" s="106"/>
      <c r="C423" s="304" t="s">
        <v>285</v>
      </c>
      <c r="D423" s="352">
        <v>46046.0</v>
      </c>
      <c r="E423" s="306">
        <v>0.4791666666666667</v>
      </c>
      <c r="F423" s="307" t="s">
        <v>526</v>
      </c>
      <c r="G423" s="343" t="s">
        <v>127</v>
      </c>
      <c r="H423" s="307" t="s">
        <v>480</v>
      </c>
      <c r="I423" s="304" t="s">
        <v>22</v>
      </c>
      <c r="J423" s="304">
        <v>2.0944441E7</v>
      </c>
      <c r="K423" s="304">
        <v>3.192871588E9</v>
      </c>
      <c r="L423" s="339"/>
      <c r="M423" s="308" t="s">
        <v>43</v>
      </c>
      <c r="N423" s="322"/>
      <c r="O423" s="310" t="s">
        <v>31</v>
      </c>
      <c r="P423" s="10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</row>
    <row r="424" ht="18.0" customHeight="1">
      <c r="A424" s="5" t="s">
        <v>16</v>
      </c>
      <c r="B424" s="106"/>
      <c r="C424" s="312" t="s">
        <v>285</v>
      </c>
      <c r="D424" s="313">
        <v>46046.0</v>
      </c>
      <c r="E424" s="314">
        <v>0.4791666666666667</v>
      </c>
      <c r="F424" s="319" t="s">
        <v>475</v>
      </c>
      <c r="G424" s="334" t="s">
        <v>63</v>
      </c>
      <c r="H424" s="315" t="s">
        <v>757</v>
      </c>
      <c r="I424" s="312" t="s">
        <v>22</v>
      </c>
      <c r="J424" s="312">
        <v>9.3152188E7</v>
      </c>
      <c r="K424" s="312">
        <v>3.132564594E9</v>
      </c>
      <c r="L424" s="335"/>
      <c r="M424" s="321" t="s">
        <v>24</v>
      </c>
      <c r="N424" s="317" t="s">
        <v>924</v>
      </c>
      <c r="O424" s="316" t="s">
        <v>640</v>
      </c>
      <c r="P424" s="10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</row>
    <row r="425" ht="18.0" customHeight="1">
      <c r="A425" s="5" t="s">
        <v>16</v>
      </c>
      <c r="B425" s="106"/>
      <c r="C425" s="312" t="s">
        <v>285</v>
      </c>
      <c r="D425" s="313">
        <v>46046.0</v>
      </c>
      <c r="E425" s="314">
        <v>0.4791666666666667</v>
      </c>
      <c r="F425" s="319" t="s">
        <v>642</v>
      </c>
      <c r="G425" s="334" t="s">
        <v>63</v>
      </c>
      <c r="H425" s="315" t="s">
        <v>757</v>
      </c>
      <c r="I425" s="312" t="s">
        <v>22</v>
      </c>
      <c r="J425" s="312">
        <v>9.3152188E7</v>
      </c>
      <c r="K425" s="312">
        <v>3.132564594E9</v>
      </c>
      <c r="L425" s="335"/>
      <c r="M425" s="321" t="s">
        <v>24</v>
      </c>
      <c r="N425" s="317" t="s">
        <v>924</v>
      </c>
      <c r="O425" s="316" t="s">
        <v>640</v>
      </c>
      <c r="P425" s="10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</row>
    <row r="426" ht="18.0" customHeight="1">
      <c r="A426" s="5" t="s">
        <v>16</v>
      </c>
      <c r="B426" s="106"/>
      <c r="C426" s="312" t="s">
        <v>285</v>
      </c>
      <c r="D426" s="313">
        <v>46046.0</v>
      </c>
      <c r="E426" s="314">
        <v>0.4791666666666667</v>
      </c>
      <c r="F426" s="319" t="s">
        <v>475</v>
      </c>
      <c r="G426" s="334" t="s">
        <v>97</v>
      </c>
      <c r="H426" s="315" t="s">
        <v>606</v>
      </c>
      <c r="I426" s="312" t="s">
        <v>22</v>
      </c>
      <c r="J426" s="312">
        <v>5.2984831E7</v>
      </c>
      <c r="K426" s="312">
        <v>3.114721654E9</v>
      </c>
      <c r="L426" s="335">
        <v>220.0</v>
      </c>
      <c r="M426" s="321" t="s">
        <v>24</v>
      </c>
      <c r="N426" s="317" t="s">
        <v>925</v>
      </c>
      <c r="O426" s="316" t="s">
        <v>377</v>
      </c>
      <c r="P426" s="10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</row>
    <row r="427" ht="18.0" customHeight="1">
      <c r="A427" s="5" t="s">
        <v>16</v>
      </c>
      <c r="B427" s="106"/>
      <c r="C427" s="312" t="s">
        <v>285</v>
      </c>
      <c r="D427" s="313">
        <v>46046.0</v>
      </c>
      <c r="E427" s="314">
        <v>0.4791666666666667</v>
      </c>
      <c r="F427" s="319" t="s">
        <v>605</v>
      </c>
      <c r="G427" s="334" t="s">
        <v>97</v>
      </c>
      <c r="H427" s="315" t="s">
        <v>606</v>
      </c>
      <c r="I427" s="312" t="s">
        <v>22</v>
      </c>
      <c r="J427" s="312">
        <v>5.2984831E7</v>
      </c>
      <c r="K427" s="312">
        <v>3.114721654E9</v>
      </c>
      <c r="L427" s="335">
        <v>300.0</v>
      </c>
      <c r="M427" s="321" t="s">
        <v>24</v>
      </c>
      <c r="N427" s="317" t="s">
        <v>925</v>
      </c>
      <c r="O427" s="316" t="s">
        <v>377</v>
      </c>
      <c r="P427" s="10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</row>
    <row r="428" ht="18.0" customHeight="1">
      <c r="A428" s="5" t="s">
        <v>16</v>
      </c>
      <c r="B428" s="106"/>
      <c r="C428" s="312" t="s">
        <v>285</v>
      </c>
      <c r="D428" s="313">
        <v>46046.0</v>
      </c>
      <c r="E428" s="314">
        <v>0.4791666666666667</v>
      </c>
      <c r="F428" s="319" t="s">
        <v>366</v>
      </c>
      <c r="G428" s="334" t="s">
        <v>97</v>
      </c>
      <c r="H428" s="315" t="s">
        <v>606</v>
      </c>
      <c r="I428" s="312" t="s">
        <v>22</v>
      </c>
      <c r="J428" s="312">
        <v>5.2984831E7</v>
      </c>
      <c r="K428" s="312">
        <v>3.114721654E9</v>
      </c>
      <c r="L428" s="335">
        <v>60.0</v>
      </c>
      <c r="M428" s="321" t="s">
        <v>24</v>
      </c>
      <c r="N428" s="317" t="s">
        <v>925</v>
      </c>
      <c r="O428" s="316" t="s">
        <v>377</v>
      </c>
      <c r="P428" s="10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</row>
    <row r="429" ht="18.0" customHeight="1">
      <c r="A429" s="5" t="s">
        <v>16</v>
      </c>
      <c r="B429" s="106"/>
      <c r="C429" s="304" t="s">
        <v>285</v>
      </c>
      <c r="D429" s="352">
        <v>46046.0</v>
      </c>
      <c r="E429" s="306">
        <v>0.5</v>
      </c>
      <c r="F429" s="307" t="s">
        <v>475</v>
      </c>
      <c r="G429" s="343" t="s">
        <v>48</v>
      </c>
      <c r="H429" s="307" t="s">
        <v>581</v>
      </c>
      <c r="I429" s="304" t="s">
        <v>22</v>
      </c>
      <c r="J429" s="304">
        <v>7.9296397E7</v>
      </c>
      <c r="K429" s="304">
        <v>3.203781516E9</v>
      </c>
      <c r="L429" s="339" t="s">
        <v>926</v>
      </c>
      <c r="M429" s="308" t="s">
        <v>43</v>
      </c>
      <c r="N429" s="322"/>
      <c r="O429" s="310" t="s">
        <v>377</v>
      </c>
      <c r="P429" s="10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</row>
    <row r="430" ht="18.0" customHeight="1">
      <c r="A430" s="5" t="s">
        <v>16</v>
      </c>
      <c r="B430" s="106"/>
      <c r="C430" s="304" t="s">
        <v>285</v>
      </c>
      <c r="D430" s="352">
        <v>46046.0</v>
      </c>
      <c r="E430" s="306">
        <v>0.5</v>
      </c>
      <c r="F430" s="307" t="s">
        <v>582</v>
      </c>
      <c r="G430" s="343" t="s">
        <v>48</v>
      </c>
      <c r="H430" s="307" t="s">
        <v>581</v>
      </c>
      <c r="I430" s="304" t="s">
        <v>22</v>
      </c>
      <c r="J430" s="304">
        <v>7.9296397E7</v>
      </c>
      <c r="K430" s="304">
        <v>3.203781516E9</v>
      </c>
      <c r="L430" s="310"/>
      <c r="M430" s="308" t="s">
        <v>43</v>
      </c>
      <c r="N430" s="322"/>
      <c r="O430" s="310" t="s">
        <v>377</v>
      </c>
      <c r="P430" s="10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</row>
    <row r="431" ht="18.0" customHeight="1">
      <c r="A431" s="5" t="s">
        <v>16</v>
      </c>
      <c r="B431" s="106"/>
      <c r="C431" s="312" t="s">
        <v>285</v>
      </c>
      <c r="D431" s="313">
        <v>46046.0</v>
      </c>
      <c r="E431" s="314">
        <v>0.5</v>
      </c>
      <c r="F431" s="319" t="s">
        <v>475</v>
      </c>
      <c r="G431" s="334" t="s">
        <v>97</v>
      </c>
      <c r="H431" s="315" t="s">
        <v>591</v>
      </c>
      <c r="I431" s="312" t="s">
        <v>22</v>
      </c>
      <c r="J431" s="312">
        <v>2.0586925E7</v>
      </c>
      <c r="K431" s="312">
        <v>3.194518567E9</v>
      </c>
      <c r="L431" s="335"/>
      <c r="M431" s="321" t="s">
        <v>24</v>
      </c>
      <c r="N431" s="317" t="s">
        <v>927</v>
      </c>
      <c r="O431" s="316" t="s">
        <v>82</v>
      </c>
      <c r="P431" s="10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</row>
    <row r="432" ht="18.0" customHeight="1">
      <c r="A432" s="5" t="s">
        <v>16</v>
      </c>
      <c r="B432" s="106"/>
      <c r="C432" s="312" t="s">
        <v>285</v>
      </c>
      <c r="D432" s="313">
        <v>46046.0</v>
      </c>
      <c r="E432" s="314">
        <v>0.5</v>
      </c>
      <c r="F432" s="319" t="s">
        <v>928</v>
      </c>
      <c r="G432" s="334" t="s">
        <v>97</v>
      </c>
      <c r="H432" s="315" t="s">
        <v>591</v>
      </c>
      <c r="I432" s="312" t="s">
        <v>22</v>
      </c>
      <c r="J432" s="312">
        <v>2.0586925E7</v>
      </c>
      <c r="K432" s="312">
        <v>3.194518567E9</v>
      </c>
      <c r="L432" s="335"/>
      <c r="M432" s="321" t="s">
        <v>24</v>
      </c>
      <c r="N432" s="317" t="s">
        <v>927</v>
      </c>
      <c r="O432" s="316" t="s">
        <v>82</v>
      </c>
      <c r="P432" s="10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</row>
    <row r="433" ht="18.0" customHeight="1">
      <c r="A433" s="5" t="s">
        <v>16</v>
      </c>
      <c r="B433" s="318">
        <v>120000.0</v>
      </c>
      <c r="C433" s="312" t="s">
        <v>285</v>
      </c>
      <c r="D433" s="313">
        <v>46039.0</v>
      </c>
      <c r="E433" s="314">
        <v>0.5</v>
      </c>
      <c r="F433" s="319" t="s">
        <v>929</v>
      </c>
      <c r="G433" s="334" t="s">
        <v>483</v>
      </c>
      <c r="H433" s="315" t="s">
        <v>591</v>
      </c>
      <c r="I433" s="312" t="s">
        <v>22</v>
      </c>
      <c r="J433" s="312">
        <v>2.0586925E7</v>
      </c>
      <c r="K433" s="312">
        <v>3.194518567E9</v>
      </c>
      <c r="L433" s="320"/>
      <c r="M433" s="321" t="s">
        <v>710</v>
      </c>
      <c r="N433" s="317" t="s">
        <v>927</v>
      </c>
      <c r="O433" s="316" t="s">
        <v>82</v>
      </c>
      <c r="P433" s="10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</row>
    <row r="434" ht="18.0" customHeight="1">
      <c r="A434" s="5" t="s">
        <v>16</v>
      </c>
      <c r="B434" s="106"/>
      <c r="C434" s="312" t="s">
        <v>285</v>
      </c>
      <c r="D434" s="313">
        <v>46039.0</v>
      </c>
      <c r="E434" s="314">
        <v>0.5</v>
      </c>
      <c r="F434" s="319" t="s">
        <v>930</v>
      </c>
      <c r="G434" s="334" t="s">
        <v>97</v>
      </c>
      <c r="H434" s="315" t="s">
        <v>570</v>
      </c>
      <c r="I434" s="312" t="s">
        <v>22</v>
      </c>
      <c r="J434" s="312">
        <v>5.1981953E7</v>
      </c>
      <c r="K434" s="312">
        <v>3.243177071E9</v>
      </c>
      <c r="L434" s="335"/>
      <c r="M434" s="321" t="s">
        <v>24</v>
      </c>
      <c r="N434" s="317" t="s">
        <v>931</v>
      </c>
      <c r="O434" s="316" t="s">
        <v>569</v>
      </c>
      <c r="P434" s="10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</row>
    <row r="435" ht="18.0" customHeight="1">
      <c r="A435" s="5" t="s">
        <v>16</v>
      </c>
      <c r="B435" s="318">
        <v>150000.0</v>
      </c>
      <c r="C435" s="312" t="s">
        <v>285</v>
      </c>
      <c r="D435" s="313">
        <v>46039.0</v>
      </c>
      <c r="E435" s="314">
        <v>0.5</v>
      </c>
      <c r="F435" s="319" t="s">
        <v>262</v>
      </c>
      <c r="G435" s="334" t="s">
        <v>20</v>
      </c>
      <c r="H435" s="315" t="s">
        <v>570</v>
      </c>
      <c r="I435" s="312" t="s">
        <v>22</v>
      </c>
      <c r="J435" s="312">
        <v>5.1981953E7</v>
      </c>
      <c r="K435" s="312">
        <v>3.243177071E9</v>
      </c>
      <c r="L435" s="320"/>
      <c r="M435" s="321" t="s">
        <v>24</v>
      </c>
      <c r="N435" s="317" t="s">
        <v>931</v>
      </c>
      <c r="O435" s="316" t="s">
        <v>569</v>
      </c>
      <c r="P435" s="10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</row>
    <row r="436" ht="18.0" customHeight="1">
      <c r="A436" s="5" t="s">
        <v>16</v>
      </c>
      <c r="B436" s="318">
        <v>190000.0</v>
      </c>
      <c r="C436" s="312" t="s">
        <v>285</v>
      </c>
      <c r="D436" s="313">
        <v>46039.0</v>
      </c>
      <c r="E436" s="314">
        <v>0.5</v>
      </c>
      <c r="F436" s="319" t="s">
        <v>932</v>
      </c>
      <c r="G436" s="334" t="s">
        <v>483</v>
      </c>
      <c r="H436" s="315" t="s">
        <v>570</v>
      </c>
      <c r="I436" s="312" t="s">
        <v>22</v>
      </c>
      <c r="J436" s="312">
        <v>5.1981953E7</v>
      </c>
      <c r="K436" s="312">
        <v>3.243177071E9</v>
      </c>
      <c r="L436" s="320"/>
      <c r="M436" s="321" t="s">
        <v>24</v>
      </c>
      <c r="N436" s="317" t="s">
        <v>931</v>
      </c>
      <c r="O436" s="316" t="s">
        <v>569</v>
      </c>
      <c r="P436" s="10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</row>
    <row r="437" ht="18.0" customHeight="1">
      <c r="A437" s="5" t="s">
        <v>16</v>
      </c>
      <c r="B437" s="318">
        <v>440000.0</v>
      </c>
      <c r="C437" s="312" t="s">
        <v>285</v>
      </c>
      <c r="D437" s="313">
        <v>46039.0</v>
      </c>
      <c r="E437" s="314">
        <v>0.5</v>
      </c>
      <c r="F437" s="319" t="s">
        <v>475</v>
      </c>
      <c r="G437" s="334" t="s">
        <v>72</v>
      </c>
      <c r="H437" s="315" t="s">
        <v>570</v>
      </c>
      <c r="I437" s="312" t="s">
        <v>22</v>
      </c>
      <c r="J437" s="312">
        <v>5.1981953E7</v>
      </c>
      <c r="K437" s="312">
        <v>3.243177071E9</v>
      </c>
      <c r="L437" s="320"/>
      <c r="M437" s="321" t="s">
        <v>24</v>
      </c>
      <c r="N437" s="317" t="s">
        <v>931</v>
      </c>
      <c r="O437" s="316" t="s">
        <v>569</v>
      </c>
      <c r="P437" s="10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</row>
    <row r="438" ht="18.0" customHeight="1">
      <c r="A438" s="5" t="s">
        <v>16</v>
      </c>
      <c r="B438" s="106"/>
      <c r="C438" s="304" t="s">
        <v>285</v>
      </c>
      <c r="D438" s="352">
        <v>46046.0</v>
      </c>
      <c r="E438" s="353">
        <v>0.5416666666666666</v>
      </c>
      <c r="F438" s="342" t="s">
        <v>933</v>
      </c>
      <c r="G438" s="343" t="s">
        <v>127</v>
      </c>
      <c r="H438" s="342" t="s">
        <v>934</v>
      </c>
      <c r="I438" s="343" t="s">
        <v>22</v>
      </c>
      <c r="J438" s="343">
        <v>1.030542963E9</v>
      </c>
      <c r="K438" s="343">
        <v>3.011617032E9</v>
      </c>
      <c r="L438" s="339" t="s">
        <v>935</v>
      </c>
      <c r="M438" s="308" t="s">
        <v>43</v>
      </c>
      <c r="N438" s="322"/>
      <c r="O438" s="339" t="s">
        <v>31</v>
      </c>
      <c r="P438" s="10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</row>
    <row r="439" ht="18.0" customHeight="1">
      <c r="A439" s="5" t="s">
        <v>16</v>
      </c>
      <c r="B439" s="106"/>
      <c r="C439" s="304" t="s">
        <v>285</v>
      </c>
      <c r="D439" s="352">
        <v>46046.0</v>
      </c>
      <c r="E439" s="353">
        <v>0.5416666666666666</v>
      </c>
      <c r="F439" s="307" t="s">
        <v>55</v>
      </c>
      <c r="G439" s="343" t="s">
        <v>63</v>
      </c>
      <c r="H439" s="307" t="s">
        <v>431</v>
      </c>
      <c r="I439" s="304" t="s">
        <v>22</v>
      </c>
      <c r="J439" s="304">
        <v>8.010026E7</v>
      </c>
      <c r="K439" s="304">
        <v>3.013816242E9</v>
      </c>
      <c r="L439" s="339" t="s">
        <v>936</v>
      </c>
      <c r="M439" s="308" t="s">
        <v>43</v>
      </c>
      <c r="N439" s="308"/>
      <c r="O439" s="310" t="s">
        <v>31</v>
      </c>
      <c r="P439" s="10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</row>
    <row r="440" ht="18.0" customHeight="1">
      <c r="A440" s="5" t="s">
        <v>16</v>
      </c>
      <c r="B440" s="345"/>
      <c r="C440" s="304" t="s">
        <v>285</v>
      </c>
      <c r="D440" s="352">
        <v>46046.0</v>
      </c>
      <c r="E440" s="353">
        <v>0.5416666666666666</v>
      </c>
      <c r="F440" s="307" t="s">
        <v>829</v>
      </c>
      <c r="G440" s="304" t="s">
        <v>72</v>
      </c>
      <c r="H440" s="307" t="s">
        <v>830</v>
      </c>
      <c r="I440" s="304"/>
      <c r="J440" s="304">
        <v>8.0129087E7</v>
      </c>
      <c r="K440" s="304">
        <v>3.003828183E9</v>
      </c>
      <c r="L440" s="339" t="s">
        <v>937</v>
      </c>
      <c r="M440" s="308" t="s">
        <v>43</v>
      </c>
      <c r="N440" s="322"/>
      <c r="O440" s="310" t="s">
        <v>92</v>
      </c>
      <c r="P440" s="10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</row>
    <row r="441" ht="18.0" customHeight="1">
      <c r="A441" s="13"/>
      <c r="B441" s="106"/>
      <c r="C441" s="111"/>
      <c r="D441" s="108"/>
      <c r="E441" s="354"/>
      <c r="F441" s="10"/>
      <c r="G441" s="13"/>
      <c r="H441" s="107"/>
      <c r="I441" s="13"/>
      <c r="J441" s="111"/>
      <c r="K441" s="111"/>
      <c r="L441" s="337"/>
      <c r="M441" s="338"/>
      <c r="N441" s="338"/>
      <c r="O441" s="337"/>
      <c r="P441" s="10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</row>
    <row r="442" ht="18.0" customHeight="1">
      <c r="A442" s="5" t="s">
        <v>16</v>
      </c>
      <c r="B442" s="106"/>
      <c r="C442" s="312" t="s">
        <v>100</v>
      </c>
      <c r="D442" s="313">
        <v>46048.0</v>
      </c>
      <c r="E442" s="314">
        <v>0.3333333333333333</v>
      </c>
      <c r="F442" s="319" t="s">
        <v>55</v>
      </c>
      <c r="G442" s="334" t="s">
        <v>97</v>
      </c>
      <c r="H442" s="315" t="s">
        <v>786</v>
      </c>
      <c r="I442" s="312" t="s">
        <v>22</v>
      </c>
      <c r="J442" s="312">
        <v>8.0269435E7</v>
      </c>
      <c r="K442" s="312">
        <v>3.10511508E9</v>
      </c>
      <c r="L442" s="335"/>
      <c r="M442" s="321" t="s">
        <v>24</v>
      </c>
      <c r="N442" s="317" t="s">
        <v>938</v>
      </c>
      <c r="O442" s="316" t="s">
        <v>31</v>
      </c>
      <c r="P442" s="10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</row>
    <row r="443" ht="18.0" customHeight="1">
      <c r="A443" s="5" t="s">
        <v>16</v>
      </c>
      <c r="B443" s="106"/>
      <c r="C443" s="312" t="s">
        <v>100</v>
      </c>
      <c r="D443" s="313">
        <v>46048.0</v>
      </c>
      <c r="E443" s="314">
        <v>0.3333333333333333</v>
      </c>
      <c r="F443" s="319" t="s">
        <v>55</v>
      </c>
      <c r="G443" s="334" t="s">
        <v>48</v>
      </c>
      <c r="H443" s="315" t="s">
        <v>433</v>
      </c>
      <c r="I443" s="312" t="s">
        <v>22</v>
      </c>
      <c r="J443" s="312">
        <v>2990838.0</v>
      </c>
      <c r="K443" s="312">
        <v>3.2048440019E10</v>
      </c>
      <c r="L443" s="335"/>
      <c r="M443" s="321" t="s">
        <v>24</v>
      </c>
      <c r="N443" s="317" t="s">
        <v>939</v>
      </c>
      <c r="O443" s="316" t="s">
        <v>82</v>
      </c>
      <c r="P443" s="10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</row>
    <row r="444" ht="18.0" customHeight="1">
      <c r="A444" s="5" t="s">
        <v>16</v>
      </c>
      <c r="B444" s="318">
        <v>150000.0</v>
      </c>
      <c r="C444" s="312" t="s">
        <v>100</v>
      </c>
      <c r="D444" s="313">
        <v>46048.0</v>
      </c>
      <c r="E444" s="314">
        <v>0.3333333333333333</v>
      </c>
      <c r="F444" s="319" t="s">
        <v>262</v>
      </c>
      <c r="G444" s="334" t="s">
        <v>20</v>
      </c>
      <c r="H444" s="319" t="s">
        <v>940</v>
      </c>
      <c r="I444" s="312" t="s">
        <v>22</v>
      </c>
      <c r="J444" s="312">
        <v>5.1645492E7</v>
      </c>
      <c r="K444" s="312">
        <v>3.219536224E9</v>
      </c>
      <c r="L444" s="320"/>
      <c r="M444" s="321" t="s">
        <v>24</v>
      </c>
      <c r="N444" s="317" t="s">
        <v>941</v>
      </c>
      <c r="O444" s="316" t="s">
        <v>31</v>
      </c>
      <c r="P444" s="10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</row>
    <row r="445" ht="18.0" customHeight="1">
      <c r="A445" s="5" t="s">
        <v>16</v>
      </c>
      <c r="B445" s="318">
        <v>196000.0</v>
      </c>
      <c r="C445" s="312" t="s">
        <v>100</v>
      </c>
      <c r="D445" s="313">
        <v>46048.0</v>
      </c>
      <c r="E445" s="314">
        <v>0.3333333333333333</v>
      </c>
      <c r="F445" s="319" t="s">
        <v>942</v>
      </c>
      <c r="G445" s="334" t="s">
        <v>483</v>
      </c>
      <c r="H445" s="319" t="s">
        <v>940</v>
      </c>
      <c r="I445" s="312" t="s">
        <v>22</v>
      </c>
      <c r="J445" s="312">
        <v>5.1645492E7</v>
      </c>
      <c r="K445" s="312">
        <v>3.219536224E9</v>
      </c>
      <c r="L445" s="320"/>
      <c r="M445" s="321" t="s">
        <v>24</v>
      </c>
      <c r="N445" s="317" t="s">
        <v>941</v>
      </c>
      <c r="O445" s="316" t="s">
        <v>31</v>
      </c>
      <c r="P445" s="10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</row>
    <row r="446" ht="18.0" customHeight="1">
      <c r="A446" s="5" t="s">
        <v>16</v>
      </c>
      <c r="B446" s="318">
        <v>220000.0</v>
      </c>
      <c r="C446" s="312" t="s">
        <v>100</v>
      </c>
      <c r="D446" s="313">
        <v>46048.0</v>
      </c>
      <c r="E446" s="314">
        <v>0.3333333333333333</v>
      </c>
      <c r="F446" s="319" t="s">
        <v>475</v>
      </c>
      <c r="G446" s="334" t="s">
        <v>628</v>
      </c>
      <c r="H446" s="319" t="s">
        <v>940</v>
      </c>
      <c r="I446" s="312" t="s">
        <v>22</v>
      </c>
      <c r="J446" s="312">
        <v>5.1645492E7</v>
      </c>
      <c r="K446" s="312">
        <v>3.219536224E9</v>
      </c>
      <c r="L446" s="320"/>
      <c r="M446" s="321" t="s">
        <v>24</v>
      </c>
      <c r="N446" s="317" t="s">
        <v>941</v>
      </c>
      <c r="O446" s="316" t="s">
        <v>31</v>
      </c>
      <c r="P446" s="10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</row>
    <row r="447" ht="18.0" customHeight="1">
      <c r="A447" s="5" t="s">
        <v>16</v>
      </c>
      <c r="B447" s="318">
        <v>230000.0</v>
      </c>
      <c r="C447" s="312" t="s">
        <v>100</v>
      </c>
      <c r="D447" s="313">
        <v>46048.0</v>
      </c>
      <c r="E447" s="314">
        <v>0.3333333333333333</v>
      </c>
      <c r="F447" s="319" t="s">
        <v>943</v>
      </c>
      <c r="G447" s="334" t="s">
        <v>628</v>
      </c>
      <c r="H447" s="319" t="s">
        <v>940</v>
      </c>
      <c r="I447" s="312" t="s">
        <v>22</v>
      </c>
      <c r="J447" s="312">
        <v>5.1645492E7</v>
      </c>
      <c r="K447" s="312">
        <v>3.219536224E9</v>
      </c>
      <c r="L447" s="320" t="s">
        <v>944</v>
      </c>
      <c r="M447" s="321" t="s">
        <v>24</v>
      </c>
      <c r="N447" s="317" t="s">
        <v>941</v>
      </c>
      <c r="O447" s="316" t="s">
        <v>31</v>
      </c>
      <c r="P447" s="10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</row>
    <row r="448" ht="18.0" customHeight="1">
      <c r="A448" s="5" t="s">
        <v>16</v>
      </c>
      <c r="B448" s="318">
        <v>550000.0</v>
      </c>
      <c r="C448" s="312" t="s">
        <v>100</v>
      </c>
      <c r="D448" s="313">
        <v>46048.0</v>
      </c>
      <c r="E448" s="314">
        <v>0.375</v>
      </c>
      <c r="F448" s="319" t="s">
        <v>811</v>
      </c>
      <c r="G448" s="334" t="s">
        <v>72</v>
      </c>
      <c r="H448" s="315" t="s">
        <v>945</v>
      </c>
      <c r="I448" s="312" t="s">
        <v>22</v>
      </c>
      <c r="J448" s="312">
        <v>7.9056223E7</v>
      </c>
      <c r="K448" s="312">
        <v>3.188036968E9</v>
      </c>
      <c r="L448" s="320"/>
      <c r="M448" s="321" t="s">
        <v>24</v>
      </c>
      <c r="N448" s="317" t="s">
        <v>946</v>
      </c>
      <c r="O448" s="316" t="s">
        <v>220</v>
      </c>
      <c r="P448" s="10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</row>
    <row r="449" ht="18.0" customHeight="1">
      <c r="A449" s="5" t="s">
        <v>16</v>
      </c>
      <c r="B449" s="106"/>
      <c r="C449" s="312" t="s">
        <v>100</v>
      </c>
      <c r="D449" s="313">
        <v>46048.0</v>
      </c>
      <c r="E449" s="314">
        <v>0.375</v>
      </c>
      <c r="F449" s="319" t="s">
        <v>818</v>
      </c>
      <c r="G449" s="334" t="s">
        <v>63</v>
      </c>
      <c r="H449" s="315" t="s">
        <v>53</v>
      </c>
      <c r="I449" s="312" t="s">
        <v>22</v>
      </c>
      <c r="J449" s="312">
        <v>5.2183685E7</v>
      </c>
      <c r="K449" s="312">
        <v>3.212173371E9</v>
      </c>
      <c r="L449" s="335" t="s">
        <v>819</v>
      </c>
      <c r="M449" s="321" t="s">
        <v>24</v>
      </c>
      <c r="N449" s="317" t="s">
        <v>441</v>
      </c>
      <c r="O449" s="316" t="s">
        <v>31</v>
      </c>
      <c r="P449" s="10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 t="s">
        <v>16</v>
      </c>
      <c r="AB449" s="7">
        <v>687500.0</v>
      </c>
      <c r="AC449" s="7" t="s">
        <v>17</v>
      </c>
      <c r="AD449" s="7">
        <v>46038.0</v>
      </c>
      <c r="AE449" s="7" t="s">
        <v>52</v>
      </c>
      <c r="AF449" s="7" t="s">
        <v>71</v>
      </c>
      <c r="AG449" s="7" t="s">
        <v>67</v>
      </c>
      <c r="AH449" s="7" t="s">
        <v>53</v>
      </c>
      <c r="AI449" s="7" t="s">
        <v>22</v>
      </c>
      <c r="AJ449" s="7">
        <v>5.1183685E7</v>
      </c>
      <c r="AK449" s="7">
        <v>3.212173371E9</v>
      </c>
      <c r="AL449" s="7" t="s">
        <v>947</v>
      </c>
      <c r="AM449" s="7"/>
      <c r="AN449" s="7" t="s">
        <v>24</v>
      </c>
      <c r="AO449" s="7" t="s">
        <v>31</v>
      </c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 t="s">
        <v>16</v>
      </c>
      <c r="BB449" s="7">
        <v>687500.0</v>
      </c>
      <c r="BC449" s="7" t="s">
        <v>17</v>
      </c>
      <c r="BD449" s="7">
        <v>46038.0</v>
      </c>
      <c r="BE449" s="7" t="s">
        <v>52</v>
      </c>
      <c r="BF449" s="7" t="s">
        <v>71</v>
      </c>
      <c r="BG449" s="7" t="s">
        <v>67</v>
      </c>
      <c r="BH449" s="7" t="s">
        <v>53</v>
      </c>
      <c r="BI449" s="7" t="s">
        <v>22</v>
      </c>
      <c r="BJ449" s="7">
        <v>5.1183685E7</v>
      </c>
      <c r="BK449" s="7">
        <v>3.212173371E9</v>
      </c>
      <c r="BL449" s="7" t="s">
        <v>948</v>
      </c>
      <c r="BM449" s="7"/>
      <c r="BN449" s="7" t="s">
        <v>24</v>
      </c>
      <c r="BO449" s="7" t="s">
        <v>31</v>
      </c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</row>
    <row r="450" ht="18.0" customHeight="1">
      <c r="A450" s="5" t="s">
        <v>16</v>
      </c>
      <c r="B450" s="106"/>
      <c r="C450" s="312" t="s">
        <v>100</v>
      </c>
      <c r="D450" s="313">
        <v>46048.0</v>
      </c>
      <c r="E450" s="314">
        <v>0.375</v>
      </c>
      <c r="F450" s="319" t="s">
        <v>475</v>
      </c>
      <c r="G450" s="334" t="s">
        <v>97</v>
      </c>
      <c r="H450" s="315" t="s">
        <v>53</v>
      </c>
      <c r="I450" s="312" t="s">
        <v>22</v>
      </c>
      <c r="J450" s="312">
        <v>5.2183685E7</v>
      </c>
      <c r="K450" s="312">
        <v>3.212173371E9</v>
      </c>
      <c r="L450" s="335"/>
      <c r="M450" s="321" t="s">
        <v>24</v>
      </c>
      <c r="N450" s="317" t="s">
        <v>949</v>
      </c>
      <c r="O450" s="316" t="s">
        <v>31</v>
      </c>
      <c r="P450" s="10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</row>
    <row r="451" ht="18.0" customHeight="1">
      <c r="A451" s="5" t="s">
        <v>16</v>
      </c>
      <c r="B451" s="106"/>
      <c r="C451" s="312" t="s">
        <v>100</v>
      </c>
      <c r="D451" s="313">
        <v>46048.0</v>
      </c>
      <c r="E451" s="314">
        <v>0.375</v>
      </c>
      <c r="F451" s="319" t="s">
        <v>950</v>
      </c>
      <c r="G451" s="334" t="s">
        <v>97</v>
      </c>
      <c r="H451" s="319" t="s">
        <v>824</v>
      </c>
      <c r="I451" s="312" t="s">
        <v>22</v>
      </c>
      <c r="J451" s="312">
        <v>1.029980511E9</v>
      </c>
      <c r="K451" s="312">
        <v>3.167020987E9</v>
      </c>
      <c r="L451" s="335"/>
      <c r="M451" s="321" t="s">
        <v>24</v>
      </c>
      <c r="N451" s="317" t="s">
        <v>951</v>
      </c>
      <c r="O451" s="316" t="s">
        <v>31</v>
      </c>
      <c r="P451" s="10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</row>
    <row r="452" ht="18.0" customHeight="1">
      <c r="A452" s="5" t="s">
        <v>16</v>
      </c>
      <c r="B452" s="318">
        <v>330000.0</v>
      </c>
      <c r="C452" s="312" t="s">
        <v>100</v>
      </c>
      <c r="D452" s="313">
        <v>46048.0</v>
      </c>
      <c r="E452" s="314">
        <v>0.375</v>
      </c>
      <c r="F452" s="319" t="s">
        <v>475</v>
      </c>
      <c r="G452" s="334" t="s">
        <v>56</v>
      </c>
      <c r="H452" s="319" t="s">
        <v>824</v>
      </c>
      <c r="I452" s="312" t="s">
        <v>22</v>
      </c>
      <c r="J452" s="312">
        <v>1.029980511E9</v>
      </c>
      <c r="K452" s="312">
        <v>3.167020987E9</v>
      </c>
      <c r="L452" s="335"/>
      <c r="M452" s="321" t="s">
        <v>24</v>
      </c>
      <c r="N452" s="317" t="s">
        <v>951</v>
      </c>
      <c r="O452" s="316" t="s">
        <v>31</v>
      </c>
      <c r="P452" s="10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</row>
    <row r="453" ht="18.0" customHeight="1">
      <c r="A453" s="5" t="s">
        <v>16</v>
      </c>
      <c r="B453" s="106"/>
      <c r="C453" s="312" t="s">
        <v>100</v>
      </c>
      <c r="D453" s="313">
        <v>46048.0</v>
      </c>
      <c r="E453" s="314">
        <v>0.375</v>
      </c>
      <c r="F453" s="319" t="s">
        <v>475</v>
      </c>
      <c r="G453" s="334" t="s">
        <v>97</v>
      </c>
      <c r="H453" s="315" t="s">
        <v>751</v>
      </c>
      <c r="I453" s="312" t="s">
        <v>22</v>
      </c>
      <c r="J453" s="312">
        <v>1.489644E7</v>
      </c>
      <c r="K453" s="312">
        <v>3.167020987E9</v>
      </c>
      <c r="L453" s="335"/>
      <c r="M453" s="321" t="s">
        <v>24</v>
      </c>
      <c r="N453" s="317" t="s">
        <v>952</v>
      </c>
      <c r="O453" s="316" t="s">
        <v>31</v>
      </c>
      <c r="P453" s="10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</row>
    <row r="454" ht="18.0" customHeight="1">
      <c r="A454" s="5" t="s">
        <v>16</v>
      </c>
      <c r="B454" s="106"/>
      <c r="C454" s="312" t="s">
        <v>100</v>
      </c>
      <c r="D454" s="313">
        <v>46048.0</v>
      </c>
      <c r="E454" s="314">
        <v>0.4166666666666667</v>
      </c>
      <c r="F454" s="319" t="s">
        <v>378</v>
      </c>
      <c r="G454" s="334" t="s">
        <v>97</v>
      </c>
      <c r="H454" s="315" t="s">
        <v>742</v>
      </c>
      <c r="I454" s="312" t="s">
        <v>22</v>
      </c>
      <c r="J454" s="312">
        <v>3.9799037E7</v>
      </c>
      <c r="K454" s="312">
        <v>3.138683253E9</v>
      </c>
      <c r="L454" s="335"/>
      <c r="M454" s="321" t="s">
        <v>24</v>
      </c>
      <c r="N454" s="317" t="s">
        <v>953</v>
      </c>
      <c r="O454" s="316" t="s">
        <v>220</v>
      </c>
      <c r="P454" s="10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</row>
    <row r="455" ht="18.0" customHeight="1">
      <c r="A455" s="5" t="s">
        <v>16</v>
      </c>
      <c r="B455" s="318">
        <v>380000.0</v>
      </c>
      <c r="C455" s="312" t="s">
        <v>100</v>
      </c>
      <c r="D455" s="313">
        <v>46048.0</v>
      </c>
      <c r="E455" s="314">
        <v>0.4166666666666667</v>
      </c>
      <c r="F455" s="319" t="s">
        <v>954</v>
      </c>
      <c r="G455" s="334" t="s">
        <v>628</v>
      </c>
      <c r="H455" s="319" t="s">
        <v>955</v>
      </c>
      <c r="I455" s="334" t="s">
        <v>22</v>
      </c>
      <c r="J455" s="334">
        <v>7.9348466E7</v>
      </c>
      <c r="K455" s="334">
        <v>3.188036968E9</v>
      </c>
      <c r="L455" s="335"/>
      <c r="M455" s="321" t="s">
        <v>24</v>
      </c>
      <c r="N455" s="317" t="s">
        <v>956</v>
      </c>
      <c r="O455" s="316" t="s">
        <v>220</v>
      </c>
      <c r="P455" s="10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</row>
    <row r="456" ht="18.0" customHeight="1">
      <c r="A456" s="358" t="s">
        <v>16</v>
      </c>
      <c r="B456" s="106"/>
      <c r="C456" s="304" t="s">
        <v>100</v>
      </c>
      <c r="D456" s="352">
        <v>46048.0</v>
      </c>
      <c r="E456" s="353">
        <v>0.4166666666666667</v>
      </c>
      <c r="F456" s="342" t="s">
        <v>262</v>
      </c>
      <c r="G456" s="343" t="s">
        <v>20</v>
      </c>
      <c r="H456" s="342" t="s">
        <v>315</v>
      </c>
      <c r="I456" s="343" t="s">
        <v>22</v>
      </c>
      <c r="J456" s="343">
        <v>1.726739E7</v>
      </c>
      <c r="K456" s="343">
        <v>3.219166067E9</v>
      </c>
      <c r="L456" s="339" t="s">
        <v>957</v>
      </c>
      <c r="M456" s="308" t="s">
        <v>43</v>
      </c>
      <c r="N456" s="322"/>
      <c r="O456" s="339" t="s">
        <v>220</v>
      </c>
      <c r="P456" s="10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</row>
    <row r="457" ht="18.0" customHeight="1">
      <c r="A457" s="358" t="s">
        <v>16</v>
      </c>
      <c r="B457" s="106"/>
      <c r="C457" s="304" t="s">
        <v>100</v>
      </c>
      <c r="D457" s="352">
        <v>46048.0</v>
      </c>
      <c r="E457" s="353">
        <v>0.4166666666666667</v>
      </c>
      <c r="F457" s="342" t="s">
        <v>475</v>
      </c>
      <c r="G457" s="343" t="s">
        <v>63</v>
      </c>
      <c r="H457" s="342" t="s">
        <v>577</v>
      </c>
      <c r="I457" s="343" t="s">
        <v>22</v>
      </c>
      <c r="J457" s="343">
        <v>1.1343645E7</v>
      </c>
      <c r="K457" s="343">
        <v>3.112309495E9</v>
      </c>
      <c r="L457" s="339" t="s">
        <v>958</v>
      </c>
      <c r="M457" s="308" t="s">
        <v>43</v>
      </c>
      <c r="N457" s="322"/>
      <c r="O457" s="339" t="s">
        <v>220</v>
      </c>
      <c r="P457" s="10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</row>
    <row r="458" ht="18.0" customHeight="1">
      <c r="A458" s="358" t="s">
        <v>16</v>
      </c>
      <c r="B458" s="106"/>
      <c r="C458" s="304" t="s">
        <v>100</v>
      </c>
      <c r="D458" s="352">
        <v>46048.0</v>
      </c>
      <c r="E458" s="353">
        <v>0.4166666666666667</v>
      </c>
      <c r="F458" s="342" t="s">
        <v>580</v>
      </c>
      <c r="G458" s="343" t="s">
        <v>63</v>
      </c>
      <c r="H458" s="342" t="s">
        <v>577</v>
      </c>
      <c r="I458" s="343" t="s">
        <v>22</v>
      </c>
      <c r="J458" s="343">
        <v>1.1343645E7</v>
      </c>
      <c r="K458" s="343">
        <v>3.112309495E9</v>
      </c>
      <c r="L458" s="339"/>
      <c r="M458" s="308" t="s">
        <v>43</v>
      </c>
      <c r="N458" s="322"/>
      <c r="O458" s="339" t="s">
        <v>220</v>
      </c>
      <c r="P458" s="10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</row>
    <row r="459" ht="18.0" customHeight="1">
      <c r="A459" s="5" t="s">
        <v>16</v>
      </c>
      <c r="B459" s="106"/>
      <c r="C459" s="304" t="s">
        <v>100</v>
      </c>
      <c r="D459" s="352">
        <v>46048.0</v>
      </c>
      <c r="E459" s="343" t="s">
        <v>93</v>
      </c>
      <c r="F459" s="342" t="s">
        <v>262</v>
      </c>
      <c r="G459" s="343" t="s">
        <v>959</v>
      </c>
      <c r="H459" s="307" t="s">
        <v>398</v>
      </c>
      <c r="I459" s="304" t="s">
        <v>22</v>
      </c>
      <c r="J459" s="304">
        <v>5.2172287E7</v>
      </c>
      <c r="K459" s="304">
        <v>3.002285725E9</v>
      </c>
      <c r="L459" s="339" t="s">
        <v>960</v>
      </c>
      <c r="M459" s="308" t="s">
        <v>43</v>
      </c>
      <c r="N459" s="339"/>
      <c r="O459" s="339" t="s">
        <v>220</v>
      </c>
      <c r="P459" s="10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</row>
    <row r="460" ht="18.0" customHeight="1">
      <c r="A460" s="5" t="s">
        <v>16</v>
      </c>
      <c r="B460" s="106"/>
      <c r="C460" s="304" t="s">
        <v>100</v>
      </c>
      <c r="D460" s="352">
        <v>46048.0</v>
      </c>
      <c r="E460" s="343" t="s">
        <v>93</v>
      </c>
      <c r="F460" s="342" t="s">
        <v>378</v>
      </c>
      <c r="G460" s="343" t="s">
        <v>63</v>
      </c>
      <c r="H460" s="307" t="s">
        <v>398</v>
      </c>
      <c r="I460" s="304" t="s">
        <v>22</v>
      </c>
      <c r="J460" s="304">
        <v>5.2172287E7</v>
      </c>
      <c r="K460" s="304">
        <v>3.002285725E9</v>
      </c>
      <c r="L460" s="339" t="s">
        <v>960</v>
      </c>
      <c r="M460" s="308" t="s">
        <v>43</v>
      </c>
      <c r="N460" s="339"/>
      <c r="O460" s="339" t="s">
        <v>220</v>
      </c>
      <c r="P460" s="10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</row>
    <row r="461" ht="18.0" customHeight="1">
      <c r="A461" s="358" t="s">
        <v>961</v>
      </c>
      <c r="B461" s="106"/>
      <c r="C461" s="304" t="s">
        <v>100</v>
      </c>
      <c r="D461" s="352">
        <v>46048.0</v>
      </c>
      <c r="E461" s="353">
        <v>0.5</v>
      </c>
      <c r="F461" s="342" t="s">
        <v>262</v>
      </c>
      <c r="G461" s="343" t="s">
        <v>127</v>
      </c>
      <c r="H461" s="342" t="s">
        <v>962</v>
      </c>
      <c r="I461" s="343" t="s">
        <v>22</v>
      </c>
      <c r="J461" s="343">
        <v>2.02544227E8</v>
      </c>
      <c r="K461" s="343">
        <v>3.50513233E9</v>
      </c>
      <c r="L461" s="339" t="s">
        <v>960</v>
      </c>
      <c r="M461" s="308" t="s">
        <v>43</v>
      </c>
      <c r="N461" s="308"/>
      <c r="O461" s="339" t="s">
        <v>92</v>
      </c>
      <c r="P461" s="10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</row>
    <row r="462" ht="18.0" customHeight="1">
      <c r="A462" s="5" t="s">
        <v>16</v>
      </c>
      <c r="B462" s="106"/>
      <c r="C462" s="312" t="s">
        <v>100</v>
      </c>
      <c r="D462" s="313">
        <v>46048.0</v>
      </c>
      <c r="E462" s="357">
        <v>0.5</v>
      </c>
      <c r="F462" s="319" t="s">
        <v>55</v>
      </c>
      <c r="G462" s="334" t="s">
        <v>97</v>
      </c>
      <c r="H462" s="319" t="s">
        <v>963</v>
      </c>
      <c r="I462" s="334" t="s">
        <v>22</v>
      </c>
      <c r="J462" s="334">
        <v>2.3944658E7</v>
      </c>
      <c r="K462" s="334">
        <v>3.003066989E9</v>
      </c>
      <c r="L462" s="335"/>
      <c r="M462" s="321" t="s">
        <v>24</v>
      </c>
      <c r="N462" s="317" t="s">
        <v>964</v>
      </c>
      <c r="O462" s="320" t="s">
        <v>377</v>
      </c>
      <c r="P462" s="10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</row>
    <row r="463" ht="18.0" customHeight="1">
      <c r="A463" s="5" t="s">
        <v>16</v>
      </c>
      <c r="B463" s="318">
        <v>250000.0</v>
      </c>
      <c r="C463" s="312" t="s">
        <v>100</v>
      </c>
      <c r="D463" s="313">
        <v>46048.0</v>
      </c>
      <c r="E463" s="357">
        <v>0.5</v>
      </c>
      <c r="F463" s="319" t="s">
        <v>55</v>
      </c>
      <c r="G463" s="334" t="s">
        <v>628</v>
      </c>
      <c r="H463" s="319" t="s">
        <v>965</v>
      </c>
      <c r="I463" s="334" t="s">
        <v>22</v>
      </c>
      <c r="J463" s="334">
        <v>8.0366815E7</v>
      </c>
      <c r="K463" s="334">
        <v>3.20386589E9</v>
      </c>
      <c r="L463" s="335" t="s">
        <v>629</v>
      </c>
      <c r="M463" s="317" t="s">
        <v>24</v>
      </c>
      <c r="N463" s="317" t="s">
        <v>966</v>
      </c>
      <c r="O463" s="320" t="s">
        <v>704</v>
      </c>
      <c r="P463" s="10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</row>
    <row r="464" ht="18.0" customHeight="1">
      <c r="A464" s="5" t="s">
        <v>16</v>
      </c>
      <c r="B464" s="106"/>
      <c r="C464" s="312" t="s">
        <v>100</v>
      </c>
      <c r="D464" s="313">
        <v>46048.0</v>
      </c>
      <c r="E464" s="357" t="s">
        <v>967</v>
      </c>
      <c r="F464" s="319" t="s">
        <v>55</v>
      </c>
      <c r="G464" s="334" t="s">
        <v>97</v>
      </c>
      <c r="H464" s="319" t="s">
        <v>968</v>
      </c>
      <c r="I464" s="334" t="s">
        <v>22</v>
      </c>
      <c r="J464" s="334">
        <v>7.9427261E7</v>
      </c>
      <c r="K464" s="334">
        <v>3.046010642E9</v>
      </c>
      <c r="L464" s="335"/>
      <c r="M464" s="317" t="s">
        <v>24</v>
      </c>
      <c r="N464" s="317" t="s">
        <v>969</v>
      </c>
      <c r="O464" s="320" t="s">
        <v>31</v>
      </c>
      <c r="P464" s="10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</row>
    <row r="465" ht="18.0" customHeight="1">
      <c r="A465" s="13"/>
      <c r="B465" s="106"/>
      <c r="C465" s="13"/>
      <c r="D465" s="108"/>
      <c r="E465" s="354"/>
      <c r="F465" s="107"/>
      <c r="G465" s="111"/>
      <c r="H465" s="107"/>
      <c r="I465" s="111"/>
      <c r="J465" s="111"/>
      <c r="K465" s="111"/>
      <c r="L465" s="359"/>
      <c r="M465" s="356"/>
      <c r="N465" s="356"/>
      <c r="O465" s="359"/>
      <c r="P465" s="10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</row>
    <row r="466" ht="18.0" customHeight="1">
      <c r="A466" s="5" t="s">
        <v>16</v>
      </c>
      <c r="B466" s="318">
        <v>680000.0</v>
      </c>
      <c r="C466" s="312" t="s">
        <v>141</v>
      </c>
      <c r="D466" s="313">
        <v>46049.0</v>
      </c>
      <c r="E466" s="357">
        <v>0.3333333333333333</v>
      </c>
      <c r="F466" s="319" t="s">
        <v>970</v>
      </c>
      <c r="G466" s="334" t="s">
        <v>72</v>
      </c>
      <c r="H466" s="319" t="s">
        <v>971</v>
      </c>
      <c r="I466" s="334" t="s">
        <v>22</v>
      </c>
      <c r="J466" s="334">
        <v>1.15181E7</v>
      </c>
      <c r="K466" s="334">
        <v>3.1335188468E10</v>
      </c>
      <c r="L466" s="335"/>
      <c r="M466" s="317" t="s">
        <v>24</v>
      </c>
      <c r="N466" s="317" t="s">
        <v>972</v>
      </c>
      <c r="O466" s="320" t="s">
        <v>82</v>
      </c>
      <c r="P466" s="10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</row>
    <row r="467" ht="18.0" customHeight="1">
      <c r="A467" s="5" t="s">
        <v>16</v>
      </c>
      <c r="B467" s="318">
        <v>550000.0</v>
      </c>
      <c r="C467" s="312" t="s">
        <v>141</v>
      </c>
      <c r="D467" s="313">
        <v>46049.0</v>
      </c>
      <c r="E467" s="357">
        <v>0.3333333333333333</v>
      </c>
      <c r="F467" s="319" t="s">
        <v>378</v>
      </c>
      <c r="G467" s="334" t="s">
        <v>72</v>
      </c>
      <c r="H467" s="319" t="s">
        <v>973</v>
      </c>
      <c r="I467" s="334" t="s">
        <v>22</v>
      </c>
      <c r="J467" s="334">
        <v>2.3487165E7</v>
      </c>
      <c r="K467" s="334">
        <v>3.125033699E9</v>
      </c>
      <c r="L467" s="335"/>
      <c r="M467" s="317" t="s">
        <v>24</v>
      </c>
      <c r="N467" s="317" t="s">
        <v>974</v>
      </c>
      <c r="O467" s="320" t="s">
        <v>975</v>
      </c>
      <c r="P467" s="10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</row>
    <row r="468" ht="18.0" customHeight="1">
      <c r="A468" s="5" t="s">
        <v>16</v>
      </c>
      <c r="B468" s="318">
        <v>150000.0</v>
      </c>
      <c r="C468" s="312" t="s">
        <v>141</v>
      </c>
      <c r="D468" s="313">
        <v>46049.0</v>
      </c>
      <c r="E468" s="357">
        <v>0.3333333333333333</v>
      </c>
      <c r="F468" s="319" t="s">
        <v>262</v>
      </c>
      <c r="G468" s="334" t="s">
        <v>127</v>
      </c>
      <c r="H468" s="319" t="s">
        <v>976</v>
      </c>
      <c r="I468" s="334" t="s">
        <v>22</v>
      </c>
      <c r="J468" s="334">
        <v>1.000118312E9</v>
      </c>
      <c r="K468" s="334">
        <v>3.125626848E9</v>
      </c>
      <c r="L468" s="335" t="s">
        <v>977</v>
      </c>
      <c r="M468" s="317" t="s">
        <v>24</v>
      </c>
      <c r="N468" s="317"/>
      <c r="O468" s="320" t="s">
        <v>978</v>
      </c>
      <c r="P468" s="10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</row>
    <row r="469" ht="18.0" customHeight="1">
      <c r="A469" s="5" t="s">
        <v>16</v>
      </c>
      <c r="B469" s="318">
        <v>300000.0</v>
      </c>
      <c r="C469" s="312" t="s">
        <v>141</v>
      </c>
      <c r="D469" s="313">
        <v>46049.0</v>
      </c>
      <c r="E469" s="357">
        <v>0.3333333333333333</v>
      </c>
      <c r="F469" s="319" t="s">
        <v>979</v>
      </c>
      <c r="G469" s="334" t="s">
        <v>483</v>
      </c>
      <c r="H469" s="319" t="s">
        <v>976</v>
      </c>
      <c r="I469" s="334" t="s">
        <v>22</v>
      </c>
      <c r="J469" s="334">
        <v>1.000118312E9</v>
      </c>
      <c r="K469" s="334">
        <v>3.125626848E9</v>
      </c>
      <c r="L469" s="335"/>
      <c r="M469" s="317" t="s">
        <v>24</v>
      </c>
      <c r="N469" s="317"/>
      <c r="O469" s="320" t="s">
        <v>978</v>
      </c>
      <c r="P469" s="10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</row>
    <row r="470" ht="18.0" customHeight="1">
      <c r="A470" s="5" t="s">
        <v>16</v>
      </c>
      <c r="B470" s="318">
        <v>220000.0</v>
      </c>
      <c r="C470" s="312" t="s">
        <v>141</v>
      </c>
      <c r="D470" s="313">
        <v>46049.0</v>
      </c>
      <c r="E470" s="357">
        <v>0.3333333333333333</v>
      </c>
      <c r="F470" s="319" t="s">
        <v>475</v>
      </c>
      <c r="G470" s="334" t="s">
        <v>628</v>
      </c>
      <c r="H470" s="319" t="s">
        <v>976</v>
      </c>
      <c r="I470" s="334" t="s">
        <v>22</v>
      </c>
      <c r="J470" s="334">
        <v>1.000118312E9</v>
      </c>
      <c r="K470" s="334">
        <v>3.125626848E9</v>
      </c>
      <c r="L470" s="335"/>
      <c r="M470" s="317" t="s">
        <v>24</v>
      </c>
      <c r="N470" s="317"/>
      <c r="O470" s="320" t="s">
        <v>978</v>
      </c>
      <c r="P470" s="10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</row>
    <row r="471" ht="18.0" customHeight="1">
      <c r="A471" s="5" t="s">
        <v>16</v>
      </c>
      <c r="B471" s="318">
        <v>380000.0</v>
      </c>
      <c r="C471" s="312" t="s">
        <v>141</v>
      </c>
      <c r="D471" s="313">
        <v>46049.0</v>
      </c>
      <c r="E471" s="357">
        <v>0.3333333333333333</v>
      </c>
      <c r="F471" s="319" t="s">
        <v>980</v>
      </c>
      <c r="G471" s="334" t="s">
        <v>628</v>
      </c>
      <c r="H471" s="319" t="s">
        <v>976</v>
      </c>
      <c r="I471" s="334" t="s">
        <v>22</v>
      </c>
      <c r="J471" s="334">
        <v>1.000118312E9</v>
      </c>
      <c r="K471" s="334">
        <v>3.125626848E9</v>
      </c>
      <c r="L471" s="335"/>
      <c r="M471" s="317" t="s">
        <v>24</v>
      </c>
      <c r="N471" s="317"/>
      <c r="O471" s="320" t="s">
        <v>978</v>
      </c>
      <c r="P471" s="10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</row>
    <row r="472" ht="18.0" customHeight="1">
      <c r="A472" s="5" t="s">
        <v>16</v>
      </c>
      <c r="B472" s="318">
        <v>220000.0</v>
      </c>
      <c r="C472" s="312" t="s">
        <v>141</v>
      </c>
      <c r="D472" s="313">
        <v>46049.0</v>
      </c>
      <c r="E472" s="357">
        <v>0.3611111111111111</v>
      </c>
      <c r="F472" s="319" t="s">
        <v>475</v>
      </c>
      <c r="G472" s="334" t="s">
        <v>63</v>
      </c>
      <c r="H472" s="319" t="s">
        <v>574</v>
      </c>
      <c r="I472" s="334" t="s">
        <v>22</v>
      </c>
      <c r="J472" s="334">
        <v>1.070953121E9</v>
      </c>
      <c r="K472" s="334">
        <v>3.132947132E9</v>
      </c>
      <c r="L472" s="335"/>
      <c r="M472" s="317" t="s">
        <v>24</v>
      </c>
      <c r="N472" s="317"/>
      <c r="O472" s="320" t="s">
        <v>44</v>
      </c>
      <c r="P472" s="10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</row>
    <row r="473" ht="18.0" customHeight="1">
      <c r="A473" s="5" t="s">
        <v>16</v>
      </c>
      <c r="B473" s="318">
        <v>340000.0</v>
      </c>
      <c r="C473" s="312" t="s">
        <v>141</v>
      </c>
      <c r="D473" s="313">
        <v>46049.0</v>
      </c>
      <c r="E473" s="357">
        <v>0.3611111111111111</v>
      </c>
      <c r="F473" s="319" t="s">
        <v>691</v>
      </c>
      <c r="G473" s="334" t="s">
        <v>63</v>
      </c>
      <c r="H473" s="319" t="s">
        <v>574</v>
      </c>
      <c r="I473" s="334" t="s">
        <v>22</v>
      </c>
      <c r="J473" s="334">
        <v>1.070953121E9</v>
      </c>
      <c r="K473" s="334">
        <v>3.132947132E9</v>
      </c>
      <c r="L473" s="335" t="s">
        <v>981</v>
      </c>
      <c r="M473" s="317" t="s">
        <v>24</v>
      </c>
      <c r="N473" s="317"/>
      <c r="O473" s="320" t="s">
        <v>44</v>
      </c>
      <c r="P473" s="10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</row>
    <row r="474" ht="18.0" customHeight="1">
      <c r="A474" s="5" t="s">
        <v>16</v>
      </c>
      <c r="B474" s="106"/>
      <c r="C474" s="312" t="s">
        <v>141</v>
      </c>
      <c r="D474" s="313">
        <v>46049.0</v>
      </c>
      <c r="E474" s="357">
        <v>0.375</v>
      </c>
      <c r="F474" s="319" t="s">
        <v>475</v>
      </c>
      <c r="G474" s="334" t="s">
        <v>63</v>
      </c>
      <c r="H474" s="319" t="s">
        <v>509</v>
      </c>
      <c r="I474" s="334" t="s">
        <v>22</v>
      </c>
      <c r="J474" s="334">
        <v>2.0472332E7</v>
      </c>
      <c r="K474" s="334">
        <v>3.133629981E9</v>
      </c>
      <c r="L474" s="335"/>
      <c r="M474" s="317" t="s">
        <v>24</v>
      </c>
      <c r="N474" s="317"/>
      <c r="O474" s="320" t="s">
        <v>377</v>
      </c>
      <c r="P474" s="10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</row>
    <row r="475" ht="18.0" customHeight="1">
      <c r="A475" s="5" t="s">
        <v>16</v>
      </c>
      <c r="B475" s="106"/>
      <c r="C475" s="312" t="s">
        <v>141</v>
      </c>
      <c r="D475" s="313">
        <v>46049.0</v>
      </c>
      <c r="E475" s="357">
        <v>0.375</v>
      </c>
      <c r="F475" s="319" t="s">
        <v>660</v>
      </c>
      <c r="G475" s="334" t="s">
        <v>63</v>
      </c>
      <c r="H475" s="319" t="s">
        <v>509</v>
      </c>
      <c r="I475" s="334" t="s">
        <v>22</v>
      </c>
      <c r="J475" s="334">
        <v>2.0472332E7</v>
      </c>
      <c r="K475" s="334">
        <v>3.133629981E9</v>
      </c>
      <c r="L475" s="335"/>
      <c r="M475" s="317" t="s">
        <v>24</v>
      </c>
      <c r="N475" s="317"/>
      <c r="O475" s="320" t="s">
        <v>377</v>
      </c>
      <c r="P475" s="10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</row>
    <row r="476" ht="18.0" customHeight="1">
      <c r="A476" s="5" t="s">
        <v>16</v>
      </c>
      <c r="B476" s="318">
        <v>76000.0</v>
      </c>
      <c r="C476" s="312" t="s">
        <v>141</v>
      </c>
      <c r="D476" s="313">
        <v>46049.0</v>
      </c>
      <c r="E476" s="357">
        <v>0.375</v>
      </c>
      <c r="F476" s="319" t="s">
        <v>626</v>
      </c>
      <c r="G476" s="334" t="s">
        <v>483</v>
      </c>
      <c r="H476" s="319" t="s">
        <v>509</v>
      </c>
      <c r="I476" s="334" t="s">
        <v>22</v>
      </c>
      <c r="J476" s="334">
        <v>2.0472332E7</v>
      </c>
      <c r="K476" s="334">
        <v>3.133629981E9</v>
      </c>
      <c r="L476" s="335"/>
      <c r="M476" s="317" t="s">
        <v>24</v>
      </c>
      <c r="N476" s="317"/>
      <c r="O476" s="320" t="s">
        <v>377</v>
      </c>
      <c r="P476" s="10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</row>
    <row r="477" ht="18.0" customHeight="1">
      <c r="A477" s="358" t="s">
        <v>16</v>
      </c>
      <c r="B477" s="106"/>
      <c r="C477" s="304" t="s">
        <v>141</v>
      </c>
      <c r="D477" s="352">
        <v>46049.0</v>
      </c>
      <c r="E477" s="306">
        <v>0.375</v>
      </c>
      <c r="F477" s="342" t="s">
        <v>753</v>
      </c>
      <c r="G477" s="343" t="s">
        <v>97</v>
      </c>
      <c r="H477" s="307" t="s">
        <v>751</v>
      </c>
      <c r="I477" s="304" t="s">
        <v>22</v>
      </c>
      <c r="J477" s="304">
        <v>1.489644E7</v>
      </c>
      <c r="K477" s="304">
        <v>3.167020987E9</v>
      </c>
      <c r="L477" s="339"/>
      <c r="M477" s="308" t="s">
        <v>43</v>
      </c>
      <c r="N477" s="308"/>
      <c r="O477" s="310" t="s">
        <v>31</v>
      </c>
      <c r="P477" s="30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</row>
    <row r="478" ht="18.0" customHeight="1">
      <c r="A478" s="5" t="s">
        <v>16</v>
      </c>
      <c r="B478" s="318">
        <v>150000.0</v>
      </c>
      <c r="C478" s="312" t="s">
        <v>141</v>
      </c>
      <c r="D478" s="313">
        <v>46049.0</v>
      </c>
      <c r="E478" s="357">
        <v>0.375</v>
      </c>
      <c r="F478" s="319" t="s">
        <v>262</v>
      </c>
      <c r="G478" s="334" t="s">
        <v>127</v>
      </c>
      <c r="H478" s="319" t="s">
        <v>982</v>
      </c>
      <c r="I478" s="334" t="s">
        <v>22</v>
      </c>
      <c r="J478" s="334">
        <v>329827.0</v>
      </c>
      <c r="K478" s="334">
        <v>3.102326928E9</v>
      </c>
      <c r="L478" s="335" t="s">
        <v>977</v>
      </c>
      <c r="M478" s="317" t="s">
        <v>24</v>
      </c>
      <c r="N478" s="317"/>
      <c r="O478" s="320" t="s">
        <v>978</v>
      </c>
      <c r="P478" s="10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</row>
    <row r="479" ht="18.0" customHeight="1">
      <c r="A479" s="5" t="s">
        <v>16</v>
      </c>
      <c r="B479" s="318">
        <v>230000.0</v>
      </c>
      <c r="C479" s="312" t="s">
        <v>141</v>
      </c>
      <c r="D479" s="313">
        <v>46049.0</v>
      </c>
      <c r="E479" s="357">
        <v>0.375</v>
      </c>
      <c r="F479" s="319" t="s">
        <v>983</v>
      </c>
      <c r="G479" s="334" t="s">
        <v>483</v>
      </c>
      <c r="H479" s="319" t="s">
        <v>982</v>
      </c>
      <c r="I479" s="334" t="s">
        <v>22</v>
      </c>
      <c r="J479" s="334">
        <v>329827.0</v>
      </c>
      <c r="K479" s="334">
        <v>3.102326928E9</v>
      </c>
      <c r="L479" s="335"/>
      <c r="M479" s="317" t="s">
        <v>24</v>
      </c>
      <c r="N479" s="317"/>
      <c r="O479" s="320" t="s">
        <v>978</v>
      </c>
      <c r="P479" s="10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</row>
    <row r="480" ht="18.0" customHeight="1">
      <c r="A480" s="5" t="s">
        <v>16</v>
      </c>
      <c r="B480" s="318">
        <v>380000.0</v>
      </c>
      <c r="C480" s="312" t="s">
        <v>141</v>
      </c>
      <c r="D480" s="313">
        <v>46049.0</v>
      </c>
      <c r="E480" s="357">
        <v>0.375</v>
      </c>
      <c r="F480" s="319" t="s">
        <v>984</v>
      </c>
      <c r="G480" s="334" t="s">
        <v>628</v>
      </c>
      <c r="H480" s="319" t="s">
        <v>982</v>
      </c>
      <c r="I480" s="334" t="s">
        <v>22</v>
      </c>
      <c r="J480" s="334">
        <v>329827.0</v>
      </c>
      <c r="K480" s="334">
        <v>3.102326928E9</v>
      </c>
      <c r="L480" s="335"/>
      <c r="M480" s="317" t="s">
        <v>24</v>
      </c>
      <c r="N480" s="317"/>
      <c r="O480" s="320" t="s">
        <v>978</v>
      </c>
      <c r="P480" s="10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</row>
    <row r="481" ht="18.0" customHeight="1">
      <c r="A481" s="358" t="s">
        <v>16</v>
      </c>
      <c r="B481" s="106"/>
      <c r="C481" s="304" t="s">
        <v>141</v>
      </c>
      <c r="D481" s="352">
        <v>46049.0</v>
      </c>
      <c r="E481" s="306">
        <v>0.375</v>
      </c>
      <c r="F481" s="342" t="s">
        <v>985</v>
      </c>
      <c r="G481" s="343" t="s">
        <v>72</v>
      </c>
      <c r="H481" s="307" t="s">
        <v>986</v>
      </c>
      <c r="I481" s="304" t="s">
        <v>22</v>
      </c>
      <c r="J481" s="304">
        <v>7.9768865E7</v>
      </c>
      <c r="K481" s="304">
        <v>3.144333668E9</v>
      </c>
      <c r="L481" s="339" t="s">
        <v>831</v>
      </c>
      <c r="M481" s="308"/>
      <c r="N481" s="308"/>
      <c r="O481" s="310" t="s">
        <v>220</v>
      </c>
      <c r="P481" s="30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</row>
    <row r="482" ht="18.0" customHeight="1">
      <c r="A482" s="358" t="s">
        <v>16</v>
      </c>
      <c r="B482" s="106"/>
      <c r="C482" s="304" t="s">
        <v>141</v>
      </c>
      <c r="D482" s="352">
        <v>46049.0</v>
      </c>
      <c r="E482" s="306">
        <v>0.375</v>
      </c>
      <c r="F482" s="342" t="s">
        <v>475</v>
      </c>
      <c r="G482" s="343" t="s">
        <v>48</v>
      </c>
      <c r="H482" s="307" t="s">
        <v>476</v>
      </c>
      <c r="I482" s="304" t="s">
        <v>22</v>
      </c>
      <c r="J482" s="304">
        <v>3.9640509E7</v>
      </c>
      <c r="K482" s="304">
        <v>3.106669201E9</v>
      </c>
      <c r="L482" s="339"/>
      <c r="M482" s="308" t="s">
        <v>43</v>
      </c>
      <c r="N482" s="308"/>
      <c r="O482" s="310" t="s">
        <v>31</v>
      </c>
      <c r="P482" s="30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</row>
    <row r="483" ht="18.0" customHeight="1">
      <c r="A483" s="358" t="s">
        <v>16</v>
      </c>
      <c r="B483" s="106"/>
      <c r="C483" s="304" t="s">
        <v>141</v>
      </c>
      <c r="D483" s="352">
        <v>46049.0</v>
      </c>
      <c r="E483" s="306">
        <v>0.375</v>
      </c>
      <c r="F483" s="342" t="s">
        <v>478</v>
      </c>
      <c r="G483" s="343" t="s">
        <v>48</v>
      </c>
      <c r="H483" s="307" t="s">
        <v>476</v>
      </c>
      <c r="I483" s="304" t="s">
        <v>22</v>
      </c>
      <c r="J483" s="304">
        <v>3.9640509E7</v>
      </c>
      <c r="K483" s="304">
        <v>3.106669201E9</v>
      </c>
      <c r="L483" s="339" t="s">
        <v>987</v>
      </c>
      <c r="M483" s="308" t="s">
        <v>43</v>
      </c>
      <c r="N483" s="308"/>
      <c r="O483" s="310" t="s">
        <v>31</v>
      </c>
      <c r="P483" s="30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</row>
    <row r="484" ht="18.0" customHeight="1">
      <c r="A484" s="5" t="s">
        <v>16</v>
      </c>
      <c r="B484" s="318">
        <v>550000.0</v>
      </c>
      <c r="C484" s="312" t="s">
        <v>141</v>
      </c>
      <c r="D484" s="313">
        <v>46049.0</v>
      </c>
      <c r="E484" s="357">
        <v>0.4166666666666667</v>
      </c>
      <c r="F484" s="319" t="s">
        <v>547</v>
      </c>
      <c r="G484" s="334" t="s">
        <v>72</v>
      </c>
      <c r="H484" s="319" t="s">
        <v>988</v>
      </c>
      <c r="I484" s="334" t="s">
        <v>22</v>
      </c>
      <c r="J484" s="334">
        <v>7.9533551E7</v>
      </c>
      <c r="K484" s="334">
        <v>3.138212902E9</v>
      </c>
      <c r="L484" s="335" t="s">
        <v>977</v>
      </c>
      <c r="M484" s="317" t="s">
        <v>24</v>
      </c>
      <c r="N484" s="317"/>
      <c r="O484" s="320" t="s">
        <v>978</v>
      </c>
      <c r="P484" s="10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</row>
    <row r="485" ht="18.0" customHeight="1">
      <c r="A485" s="5" t="s">
        <v>16</v>
      </c>
      <c r="B485" s="106"/>
      <c r="C485" s="312" t="s">
        <v>141</v>
      </c>
      <c r="D485" s="313">
        <v>46049.0</v>
      </c>
      <c r="E485" s="357">
        <v>0.4166666666666667</v>
      </c>
      <c r="F485" s="319" t="s">
        <v>55</v>
      </c>
      <c r="G485" s="334" t="s">
        <v>97</v>
      </c>
      <c r="H485" s="319" t="s">
        <v>763</v>
      </c>
      <c r="I485" s="334" t="s">
        <v>22</v>
      </c>
      <c r="J485" s="334">
        <v>5.2515921E7</v>
      </c>
      <c r="K485" s="334">
        <v>3.045435592E9</v>
      </c>
      <c r="L485" s="335"/>
      <c r="M485" s="317" t="s">
        <v>24</v>
      </c>
      <c r="N485" s="317"/>
      <c r="O485" s="320" t="s">
        <v>31</v>
      </c>
      <c r="P485" s="10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</row>
    <row r="486" ht="18.0" customHeight="1">
      <c r="A486" s="5" t="s">
        <v>16</v>
      </c>
      <c r="B486" s="318">
        <v>150000.0</v>
      </c>
      <c r="C486" s="312" t="s">
        <v>141</v>
      </c>
      <c r="D486" s="313">
        <v>46049.0</v>
      </c>
      <c r="E486" s="357">
        <v>0.4166666666666667</v>
      </c>
      <c r="F486" s="319" t="s">
        <v>262</v>
      </c>
      <c r="G486" s="334" t="s">
        <v>20</v>
      </c>
      <c r="H486" s="319" t="s">
        <v>989</v>
      </c>
      <c r="I486" s="334" t="s">
        <v>22</v>
      </c>
      <c r="J486" s="334">
        <v>2.3995546E7</v>
      </c>
      <c r="K486" s="334">
        <v>3.164204138E9</v>
      </c>
      <c r="L486" s="335"/>
      <c r="M486" s="317" t="s">
        <v>24</v>
      </c>
      <c r="N486" s="317"/>
      <c r="O486" s="320" t="s">
        <v>31</v>
      </c>
      <c r="P486" s="10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</row>
    <row r="487" ht="18.0" customHeight="1">
      <c r="A487" s="5" t="s">
        <v>16</v>
      </c>
      <c r="B487" s="318">
        <v>183000.0</v>
      </c>
      <c r="C487" s="312" t="s">
        <v>141</v>
      </c>
      <c r="D487" s="313">
        <v>46049.0</v>
      </c>
      <c r="E487" s="357">
        <v>0.4166666666666667</v>
      </c>
      <c r="F487" s="319" t="s">
        <v>990</v>
      </c>
      <c r="G487" s="334" t="s">
        <v>483</v>
      </c>
      <c r="H487" s="319" t="s">
        <v>989</v>
      </c>
      <c r="I487" s="334" t="s">
        <v>22</v>
      </c>
      <c r="J487" s="334">
        <v>2.3995546E7</v>
      </c>
      <c r="K487" s="334">
        <v>3.164204138E9</v>
      </c>
      <c r="L487" s="335" t="s">
        <v>977</v>
      </c>
      <c r="M487" s="317" t="s">
        <v>24</v>
      </c>
      <c r="N487" s="317"/>
      <c r="O487" s="320" t="s">
        <v>31</v>
      </c>
      <c r="P487" s="10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</row>
    <row r="488" ht="18.0" customHeight="1">
      <c r="A488" s="5" t="s">
        <v>16</v>
      </c>
      <c r="B488" s="318">
        <v>280000.0</v>
      </c>
      <c r="C488" s="312" t="s">
        <v>141</v>
      </c>
      <c r="D488" s="313">
        <v>46049.0</v>
      </c>
      <c r="E488" s="357">
        <v>0.4166666666666667</v>
      </c>
      <c r="F488" s="319" t="s">
        <v>475</v>
      </c>
      <c r="G488" s="334" t="s">
        <v>628</v>
      </c>
      <c r="H488" s="319" t="s">
        <v>989</v>
      </c>
      <c r="I488" s="334" t="s">
        <v>22</v>
      </c>
      <c r="J488" s="334">
        <v>2.3995546E7</v>
      </c>
      <c r="K488" s="334">
        <v>3.164204138E9</v>
      </c>
      <c r="L488" s="335"/>
      <c r="M488" s="317" t="s">
        <v>24</v>
      </c>
      <c r="N488" s="317"/>
      <c r="O488" s="320" t="s">
        <v>31</v>
      </c>
      <c r="P488" s="10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</row>
    <row r="489" ht="18.0" customHeight="1">
      <c r="A489" s="5" t="s">
        <v>16</v>
      </c>
      <c r="B489" s="318">
        <v>380000.0</v>
      </c>
      <c r="C489" s="312" t="s">
        <v>141</v>
      </c>
      <c r="D489" s="313">
        <v>46049.0</v>
      </c>
      <c r="E489" s="357">
        <v>0.4166666666666667</v>
      </c>
      <c r="F489" s="319" t="s">
        <v>991</v>
      </c>
      <c r="G489" s="334" t="s">
        <v>628</v>
      </c>
      <c r="H489" s="319" t="s">
        <v>989</v>
      </c>
      <c r="I489" s="334" t="s">
        <v>22</v>
      </c>
      <c r="J489" s="334">
        <v>2.3995546E7</v>
      </c>
      <c r="K489" s="334">
        <v>3.164204138E9</v>
      </c>
      <c r="L489" s="335"/>
      <c r="M489" s="317" t="s">
        <v>24</v>
      </c>
      <c r="N489" s="317"/>
      <c r="O489" s="320" t="s">
        <v>31</v>
      </c>
      <c r="P489" s="10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</row>
    <row r="490" ht="18.0" customHeight="1">
      <c r="A490" s="358" t="s">
        <v>16</v>
      </c>
      <c r="B490" s="106"/>
      <c r="C490" s="304" t="s">
        <v>141</v>
      </c>
      <c r="D490" s="352">
        <v>46049.0</v>
      </c>
      <c r="E490" s="306">
        <v>0.4166666666666667</v>
      </c>
      <c r="F490" s="342" t="s">
        <v>55</v>
      </c>
      <c r="G490" s="343" t="s">
        <v>72</v>
      </c>
      <c r="H490" s="307" t="s">
        <v>992</v>
      </c>
      <c r="I490" s="304" t="s">
        <v>22</v>
      </c>
      <c r="J490" s="304">
        <v>1.9481826E7</v>
      </c>
      <c r="K490" s="304">
        <v>3.027897541E9</v>
      </c>
      <c r="L490" s="339" t="s">
        <v>993</v>
      </c>
      <c r="M490" s="308" t="s">
        <v>43</v>
      </c>
      <c r="N490" s="308"/>
      <c r="O490" s="310" t="s">
        <v>377</v>
      </c>
      <c r="P490" s="30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</row>
    <row r="491" ht="18.0" customHeight="1">
      <c r="A491" s="358" t="s">
        <v>16</v>
      </c>
      <c r="B491" s="106"/>
      <c r="C491" s="304" t="s">
        <v>141</v>
      </c>
      <c r="D491" s="352">
        <v>46049.0</v>
      </c>
      <c r="E491" s="306">
        <v>0.4166666666666667</v>
      </c>
      <c r="F491" s="342" t="s">
        <v>475</v>
      </c>
      <c r="G491" s="343" t="s">
        <v>63</v>
      </c>
      <c r="H491" s="307" t="s">
        <v>584</v>
      </c>
      <c r="I491" s="304" t="s">
        <v>22</v>
      </c>
      <c r="J491" s="304">
        <v>2.0959058E7</v>
      </c>
      <c r="K491" s="304">
        <v>3.215985591E9</v>
      </c>
      <c r="L491" s="339" t="s">
        <v>994</v>
      </c>
      <c r="M491" s="308" t="s">
        <v>43</v>
      </c>
      <c r="N491" s="308"/>
      <c r="O491" s="310" t="s">
        <v>31</v>
      </c>
      <c r="P491" s="30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</row>
    <row r="492" ht="18.0" customHeight="1">
      <c r="A492" s="5" t="s">
        <v>16</v>
      </c>
      <c r="B492" s="106"/>
      <c r="C492" s="304" t="s">
        <v>141</v>
      </c>
      <c r="D492" s="352">
        <v>46049.0</v>
      </c>
      <c r="E492" s="306">
        <v>0.4166666666666667</v>
      </c>
      <c r="F492" s="342" t="s">
        <v>616</v>
      </c>
      <c r="G492" s="343" t="s">
        <v>63</v>
      </c>
      <c r="H492" s="307" t="s">
        <v>584</v>
      </c>
      <c r="I492" s="304" t="s">
        <v>22</v>
      </c>
      <c r="J492" s="304">
        <v>2.0959058E7</v>
      </c>
      <c r="K492" s="304">
        <v>3.215985591E9</v>
      </c>
      <c r="L492" s="339"/>
      <c r="M492" s="308" t="s">
        <v>43</v>
      </c>
      <c r="N492" s="308"/>
      <c r="O492" s="310" t="s">
        <v>31</v>
      </c>
      <c r="P492" s="30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</row>
    <row r="493" ht="18.0" customHeight="1">
      <c r="A493" s="5" t="s">
        <v>16</v>
      </c>
      <c r="B493" s="318">
        <v>220000.0</v>
      </c>
      <c r="C493" s="312" t="s">
        <v>141</v>
      </c>
      <c r="D493" s="313">
        <v>46049.0</v>
      </c>
      <c r="E493" s="357">
        <v>0.4583333333333333</v>
      </c>
      <c r="F493" s="319" t="s">
        <v>475</v>
      </c>
      <c r="G493" s="334" t="s">
        <v>63</v>
      </c>
      <c r="H493" s="319" t="s">
        <v>577</v>
      </c>
      <c r="I493" s="334" t="s">
        <v>22</v>
      </c>
      <c r="J493" s="334">
        <v>1.1343645E7</v>
      </c>
      <c r="K493" s="334">
        <v>3.112309495E9</v>
      </c>
      <c r="L493" s="335" t="s">
        <v>995</v>
      </c>
      <c r="M493" s="317" t="s">
        <v>24</v>
      </c>
      <c r="N493" s="317"/>
      <c r="O493" s="320" t="s">
        <v>220</v>
      </c>
      <c r="P493" s="10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</row>
    <row r="494" ht="18.0" customHeight="1">
      <c r="A494" s="5" t="s">
        <v>16</v>
      </c>
      <c r="B494" s="318">
        <v>380000.0</v>
      </c>
      <c r="C494" s="312" t="s">
        <v>141</v>
      </c>
      <c r="D494" s="313">
        <v>46049.0</v>
      </c>
      <c r="E494" s="357">
        <v>0.4583333333333333</v>
      </c>
      <c r="F494" s="319" t="s">
        <v>580</v>
      </c>
      <c r="G494" s="334" t="s">
        <v>63</v>
      </c>
      <c r="H494" s="319" t="s">
        <v>577</v>
      </c>
      <c r="I494" s="334" t="s">
        <v>22</v>
      </c>
      <c r="J494" s="334">
        <v>1.1343645E7</v>
      </c>
      <c r="K494" s="334">
        <v>3.112309495E9</v>
      </c>
      <c r="L494" s="335"/>
      <c r="M494" s="317" t="s">
        <v>24</v>
      </c>
      <c r="N494" s="317"/>
      <c r="O494" s="320" t="s">
        <v>220</v>
      </c>
      <c r="P494" s="10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</row>
    <row r="495" ht="18.0" customHeight="1">
      <c r="A495" s="5" t="s">
        <v>16</v>
      </c>
      <c r="B495" s="318">
        <v>60000.0</v>
      </c>
      <c r="C495" s="312" t="s">
        <v>141</v>
      </c>
      <c r="D495" s="313">
        <v>46049.0</v>
      </c>
      <c r="E495" s="357">
        <v>0.4583333333333333</v>
      </c>
      <c r="F495" s="319" t="s">
        <v>996</v>
      </c>
      <c r="G495" s="334" t="s">
        <v>63</v>
      </c>
      <c r="H495" s="319" t="s">
        <v>577</v>
      </c>
      <c r="I495" s="334" t="s">
        <v>22</v>
      </c>
      <c r="J495" s="334">
        <v>1.1343645E7</v>
      </c>
      <c r="K495" s="334">
        <v>3.112309495E9</v>
      </c>
      <c r="L495" s="335"/>
      <c r="M495" s="317" t="s">
        <v>24</v>
      </c>
      <c r="N495" s="317"/>
      <c r="O495" s="320" t="s">
        <v>220</v>
      </c>
      <c r="P495" s="10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</row>
    <row r="496" ht="18.0" customHeight="1">
      <c r="A496" s="5" t="s">
        <v>16</v>
      </c>
      <c r="B496" s="318">
        <v>680000.0</v>
      </c>
      <c r="C496" s="312" t="s">
        <v>141</v>
      </c>
      <c r="D496" s="313">
        <v>46049.0</v>
      </c>
      <c r="E496" s="357">
        <v>0.4583333333333333</v>
      </c>
      <c r="F496" s="319" t="s">
        <v>970</v>
      </c>
      <c r="G496" s="334" t="s">
        <v>72</v>
      </c>
      <c r="H496" s="319" t="s">
        <v>997</v>
      </c>
      <c r="I496" s="334" t="s">
        <v>22</v>
      </c>
      <c r="J496" s="334">
        <v>1.9225245E7</v>
      </c>
      <c r="K496" s="334">
        <v>3.12481016E9</v>
      </c>
      <c r="L496" s="335" t="s">
        <v>995</v>
      </c>
      <c r="M496" s="317" t="s">
        <v>24</v>
      </c>
      <c r="N496" s="317"/>
      <c r="O496" s="320" t="s">
        <v>31</v>
      </c>
      <c r="P496" s="10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</row>
    <row r="497" ht="18.0" customHeight="1">
      <c r="A497" s="5" t="s">
        <v>16</v>
      </c>
      <c r="B497" s="106"/>
      <c r="C497" s="304" t="s">
        <v>141</v>
      </c>
      <c r="D497" s="352">
        <v>46049.0</v>
      </c>
      <c r="E497" s="353">
        <v>0.4583333333333333</v>
      </c>
      <c r="F497" s="342" t="s">
        <v>55</v>
      </c>
      <c r="G497" s="343" t="s">
        <v>48</v>
      </c>
      <c r="H497" s="307" t="s">
        <v>998</v>
      </c>
      <c r="I497" s="304" t="s">
        <v>22</v>
      </c>
      <c r="J497" s="304">
        <v>1.032427809E9</v>
      </c>
      <c r="K497" s="304">
        <v>3.208509441E9</v>
      </c>
      <c r="L497" s="339" t="s">
        <v>926</v>
      </c>
      <c r="M497" s="308" t="s">
        <v>43</v>
      </c>
      <c r="N497" s="308"/>
      <c r="O497" s="310" t="s">
        <v>377</v>
      </c>
      <c r="P497" s="30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</row>
    <row r="498" ht="18.0" customHeight="1">
      <c r="A498" s="5" t="s">
        <v>16</v>
      </c>
      <c r="B498" s="106"/>
      <c r="C498" s="304" t="s">
        <v>141</v>
      </c>
      <c r="D498" s="352">
        <v>46049.0</v>
      </c>
      <c r="E498" s="353">
        <v>0.4583333333333333</v>
      </c>
      <c r="F498" s="342" t="s">
        <v>366</v>
      </c>
      <c r="G498" s="343" t="s">
        <v>48</v>
      </c>
      <c r="H498" s="307" t="s">
        <v>998</v>
      </c>
      <c r="I498" s="304" t="s">
        <v>22</v>
      </c>
      <c r="J498" s="304">
        <v>1.032427809E9</v>
      </c>
      <c r="K498" s="304">
        <v>3.208509441E9</v>
      </c>
      <c r="L498" s="339"/>
      <c r="M498" s="308" t="s">
        <v>43</v>
      </c>
      <c r="N498" s="308"/>
      <c r="O498" s="310" t="s">
        <v>377</v>
      </c>
      <c r="P498" s="30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</row>
    <row r="499" ht="18.0" customHeight="1">
      <c r="A499" s="5" t="s">
        <v>16</v>
      </c>
      <c r="B499" s="106"/>
      <c r="C499" s="13" t="s">
        <v>141</v>
      </c>
      <c r="D499" s="108">
        <v>46049.0</v>
      </c>
      <c r="E499" s="341">
        <v>0.5833333333333334</v>
      </c>
      <c r="F499" s="107" t="s">
        <v>999</v>
      </c>
      <c r="G499" s="111" t="s">
        <v>63</v>
      </c>
      <c r="H499" s="10" t="s">
        <v>653</v>
      </c>
      <c r="I499" s="13" t="s">
        <v>22</v>
      </c>
      <c r="J499" s="13">
        <v>5109350.0</v>
      </c>
      <c r="K499" s="346">
        <v>3.213255204E9</v>
      </c>
      <c r="L499" s="359"/>
      <c r="M499" s="360" t="s">
        <v>24</v>
      </c>
      <c r="N499" s="360"/>
      <c r="O499" s="359" t="s">
        <v>220</v>
      </c>
      <c r="P499" s="10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</row>
    <row r="500" ht="18.0" customHeight="1">
      <c r="A500" s="13"/>
      <c r="B500" s="106"/>
      <c r="C500" s="13"/>
      <c r="D500" s="108"/>
      <c r="E500" s="354"/>
      <c r="F500" s="107"/>
      <c r="G500" s="111"/>
      <c r="H500" s="107"/>
      <c r="I500" s="111"/>
      <c r="J500" s="111"/>
      <c r="K500" s="111"/>
      <c r="L500" s="359"/>
      <c r="M500" s="356"/>
      <c r="N500" s="356"/>
      <c r="O500" s="359"/>
      <c r="P500" s="10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</row>
    <row r="501" ht="18.0" customHeight="1">
      <c r="A501" s="5" t="s">
        <v>16</v>
      </c>
      <c r="B501" s="106"/>
      <c r="C501" s="111" t="s">
        <v>1000</v>
      </c>
      <c r="D501" s="108">
        <v>46050.0</v>
      </c>
      <c r="E501" s="354">
        <v>0.3541666666666667</v>
      </c>
      <c r="F501" s="107" t="s">
        <v>378</v>
      </c>
      <c r="G501" s="111" t="s">
        <v>63</v>
      </c>
      <c r="H501" s="107" t="s">
        <v>775</v>
      </c>
      <c r="I501" s="111" t="s">
        <v>22</v>
      </c>
      <c r="J501" s="111">
        <v>4.1647472E7</v>
      </c>
      <c r="K501" s="111">
        <v>3.156743978E9</v>
      </c>
      <c r="L501" s="359"/>
      <c r="M501" s="360" t="s">
        <v>24</v>
      </c>
      <c r="N501" s="356"/>
      <c r="O501" s="359" t="s">
        <v>92</v>
      </c>
      <c r="P501" s="10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</row>
    <row r="502" ht="18.0" customHeight="1">
      <c r="A502" s="5" t="s">
        <v>16</v>
      </c>
      <c r="B502" s="106"/>
      <c r="C502" s="111" t="s">
        <v>1000</v>
      </c>
      <c r="D502" s="108">
        <v>46050.0</v>
      </c>
      <c r="E502" s="354">
        <v>0.3541666666666667</v>
      </c>
      <c r="F502" s="107" t="s">
        <v>55</v>
      </c>
      <c r="G502" s="111" t="s">
        <v>48</v>
      </c>
      <c r="H502" s="107" t="s">
        <v>458</v>
      </c>
      <c r="I502" s="111" t="s">
        <v>22</v>
      </c>
      <c r="J502" s="111">
        <v>7.9057655E7</v>
      </c>
      <c r="K502" s="111">
        <v>3.178596972E9</v>
      </c>
      <c r="L502" s="359"/>
      <c r="M502" s="360"/>
      <c r="N502" s="356"/>
      <c r="O502" s="359" t="s">
        <v>220</v>
      </c>
      <c r="P502" s="10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</row>
    <row r="503" ht="18.0" customHeight="1">
      <c r="A503" s="5" t="s">
        <v>16</v>
      </c>
      <c r="B503" s="106"/>
      <c r="C503" s="111" t="s">
        <v>1000</v>
      </c>
      <c r="D503" s="108">
        <v>46050.0</v>
      </c>
      <c r="E503" s="354">
        <v>0.3541666666666667</v>
      </c>
      <c r="F503" s="107" t="s">
        <v>378</v>
      </c>
      <c r="G503" s="111" t="s">
        <v>48</v>
      </c>
      <c r="H503" s="107" t="s">
        <v>421</v>
      </c>
      <c r="I503" s="111" t="s">
        <v>22</v>
      </c>
      <c r="J503" s="111">
        <v>2.3359956E7</v>
      </c>
      <c r="K503" s="111">
        <v>3.002757965E9</v>
      </c>
      <c r="L503" s="359"/>
      <c r="M503" s="360"/>
      <c r="N503" s="356"/>
      <c r="O503" s="359" t="s">
        <v>377</v>
      </c>
      <c r="P503" s="10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</row>
    <row r="504" ht="18.0" customHeight="1">
      <c r="A504" s="5" t="s">
        <v>16</v>
      </c>
      <c r="B504" s="106"/>
      <c r="C504" s="111" t="s">
        <v>1000</v>
      </c>
      <c r="D504" s="108">
        <v>46050.0</v>
      </c>
      <c r="E504" s="354">
        <v>0.375</v>
      </c>
      <c r="F504" s="107" t="s">
        <v>378</v>
      </c>
      <c r="G504" s="111" t="s">
        <v>48</v>
      </c>
      <c r="H504" s="107" t="s">
        <v>466</v>
      </c>
      <c r="I504" s="111" t="s">
        <v>22</v>
      </c>
      <c r="J504" s="111">
        <v>7.9266659E7</v>
      </c>
      <c r="K504" s="111">
        <v>3.108635966E9</v>
      </c>
      <c r="L504" s="359"/>
      <c r="M504" s="360" t="s">
        <v>24</v>
      </c>
      <c r="N504" s="356"/>
      <c r="O504" s="359" t="s">
        <v>220</v>
      </c>
      <c r="P504" s="10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</row>
    <row r="505" ht="18.0" customHeight="1">
      <c r="A505" s="5" t="s">
        <v>16</v>
      </c>
      <c r="B505" s="361">
        <v>150000.0</v>
      </c>
      <c r="C505" s="343" t="s">
        <v>1000</v>
      </c>
      <c r="D505" s="352">
        <v>46050.0</v>
      </c>
      <c r="E505" s="353">
        <v>0.375</v>
      </c>
      <c r="F505" s="342" t="s">
        <v>262</v>
      </c>
      <c r="G505" s="343" t="s">
        <v>20</v>
      </c>
      <c r="H505" s="362" t="s">
        <v>466</v>
      </c>
      <c r="I505" s="343" t="s">
        <v>22</v>
      </c>
      <c r="J505" s="343">
        <v>7.9266659E7</v>
      </c>
      <c r="K505" s="343">
        <v>3.108635966E9</v>
      </c>
      <c r="L505" s="339"/>
      <c r="M505" s="308" t="s">
        <v>43</v>
      </c>
      <c r="N505" s="322"/>
      <c r="O505" s="339" t="s">
        <v>220</v>
      </c>
      <c r="P505" s="342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</row>
    <row r="506" ht="18.0" customHeight="1">
      <c r="A506" s="5" t="s">
        <v>16</v>
      </c>
      <c r="B506" s="106"/>
      <c r="C506" s="111" t="s">
        <v>1000</v>
      </c>
      <c r="D506" s="108">
        <v>46050.0</v>
      </c>
      <c r="E506" s="354">
        <v>0.375</v>
      </c>
      <c r="F506" s="107" t="s">
        <v>378</v>
      </c>
      <c r="G506" s="111" t="s">
        <v>63</v>
      </c>
      <c r="H506" s="107" t="s">
        <v>775</v>
      </c>
      <c r="I506" s="111" t="s">
        <v>22</v>
      </c>
      <c r="J506" s="111">
        <v>4.1647472E7</v>
      </c>
      <c r="K506" s="111">
        <v>3.156743978E9</v>
      </c>
      <c r="L506" s="359"/>
      <c r="M506" s="360" t="s">
        <v>24</v>
      </c>
      <c r="N506" s="356"/>
      <c r="O506" s="359" t="s">
        <v>92</v>
      </c>
      <c r="P506" s="10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</row>
    <row r="507" ht="18.0" customHeight="1">
      <c r="A507" s="358" t="s">
        <v>16</v>
      </c>
      <c r="B507" s="106"/>
      <c r="C507" s="111" t="s">
        <v>1000</v>
      </c>
      <c r="D507" s="108">
        <v>46050.0</v>
      </c>
      <c r="E507" s="341">
        <v>0.375</v>
      </c>
      <c r="F507" s="124" t="s">
        <v>475</v>
      </c>
      <c r="G507" s="111" t="s">
        <v>48</v>
      </c>
      <c r="H507" s="10" t="s">
        <v>476</v>
      </c>
      <c r="I507" s="13" t="s">
        <v>22</v>
      </c>
      <c r="J507" s="13">
        <v>3.9640509E7</v>
      </c>
      <c r="K507" s="13">
        <v>3.106669201E9</v>
      </c>
      <c r="L507" s="359" t="s">
        <v>1001</v>
      </c>
      <c r="M507" s="360" t="s">
        <v>24</v>
      </c>
      <c r="N507" s="360"/>
      <c r="O507" s="355" t="s">
        <v>31</v>
      </c>
      <c r="P507" s="10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</row>
    <row r="508" ht="18.0" customHeight="1">
      <c r="A508" s="358" t="s">
        <v>16</v>
      </c>
      <c r="B508" s="106"/>
      <c r="C508" s="111" t="s">
        <v>1000</v>
      </c>
      <c r="D508" s="108">
        <v>46050.0</v>
      </c>
      <c r="E508" s="341">
        <v>0.375</v>
      </c>
      <c r="F508" s="124" t="s">
        <v>478</v>
      </c>
      <c r="G508" s="111" t="s">
        <v>48</v>
      </c>
      <c r="H508" s="10" t="s">
        <v>476</v>
      </c>
      <c r="I508" s="13" t="s">
        <v>22</v>
      </c>
      <c r="J508" s="13">
        <v>3.9640509E7</v>
      </c>
      <c r="K508" s="13">
        <v>3.106669201E9</v>
      </c>
      <c r="L508" s="359"/>
      <c r="M508" s="360" t="s">
        <v>24</v>
      </c>
      <c r="N508" s="360"/>
      <c r="O508" s="355" t="s">
        <v>31</v>
      </c>
      <c r="P508" s="10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</row>
    <row r="509" ht="18.0" customHeight="1">
      <c r="A509" s="5" t="s">
        <v>961</v>
      </c>
      <c r="B509" s="106">
        <v>550000.0</v>
      </c>
      <c r="C509" s="111" t="s">
        <v>1000</v>
      </c>
      <c r="D509" s="108">
        <v>46050.0</v>
      </c>
      <c r="E509" s="354">
        <v>0.4166666666666667</v>
      </c>
      <c r="F509" s="107" t="s">
        <v>378</v>
      </c>
      <c r="G509" s="111" t="s">
        <v>215</v>
      </c>
      <c r="H509" s="107" t="s">
        <v>1002</v>
      </c>
      <c r="I509" s="111" t="s">
        <v>303</v>
      </c>
      <c r="J509" s="111">
        <v>7.9501856E7</v>
      </c>
      <c r="K509" s="111">
        <v>3.112783284E9</v>
      </c>
      <c r="L509" s="359"/>
      <c r="M509" s="360" t="s">
        <v>24</v>
      </c>
      <c r="N509" s="356"/>
      <c r="O509" s="359" t="s">
        <v>92</v>
      </c>
      <c r="P509" s="10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</row>
    <row r="510" ht="18.0" customHeight="1">
      <c r="A510" s="5" t="s">
        <v>16</v>
      </c>
      <c r="B510" s="106"/>
      <c r="C510" s="111" t="s">
        <v>203</v>
      </c>
      <c r="D510" s="108">
        <v>46050.0</v>
      </c>
      <c r="E510" s="354">
        <v>0.4166666666666667</v>
      </c>
      <c r="F510" s="107" t="s">
        <v>818</v>
      </c>
      <c r="G510" s="111" t="s">
        <v>48</v>
      </c>
      <c r="H510" s="107" t="s">
        <v>53</v>
      </c>
      <c r="I510" s="111" t="s">
        <v>22</v>
      </c>
      <c r="J510" s="111">
        <v>5.2183685E7</v>
      </c>
      <c r="K510" s="111">
        <v>3.212173371E9</v>
      </c>
      <c r="L510" s="359" t="s">
        <v>819</v>
      </c>
      <c r="M510" s="360"/>
      <c r="N510" s="356"/>
      <c r="O510" s="359" t="s">
        <v>31</v>
      </c>
      <c r="P510" s="10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 t="s">
        <v>16</v>
      </c>
      <c r="AB510" s="7">
        <v>687500.0</v>
      </c>
      <c r="AC510" s="7" t="s">
        <v>17</v>
      </c>
      <c r="AD510" s="7">
        <v>46038.0</v>
      </c>
      <c r="AE510" s="7" t="s">
        <v>52</v>
      </c>
      <c r="AF510" s="7" t="s">
        <v>71</v>
      </c>
      <c r="AG510" s="7" t="s">
        <v>67</v>
      </c>
      <c r="AH510" s="7" t="s">
        <v>53</v>
      </c>
      <c r="AI510" s="7" t="s">
        <v>22</v>
      </c>
      <c r="AJ510" s="7">
        <v>5.1183685E7</v>
      </c>
      <c r="AK510" s="7">
        <v>3.212173371E9</v>
      </c>
      <c r="AL510" s="7" t="s">
        <v>1003</v>
      </c>
      <c r="AM510" s="7"/>
      <c r="AN510" s="7" t="s">
        <v>24</v>
      </c>
      <c r="AO510" s="7" t="s">
        <v>31</v>
      </c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 t="s">
        <v>16</v>
      </c>
      <c r="BB510" s="7">
        <v>687500.0</v>
      </c>
      <c r="BC510" s="7" t="s">
        <v>17</v>
      </c>
      <c r="BD510" s="7">
        <v>46038.0</v>
      </c>
      <c r="BE510" s="7" t="s">
        <v>52</v>
      </c>
      <c r="BF510" s="7" t="s">
        <v>71</v>
      </c>
      <c r="BG510" s="7" t="s">
        <v>67</v>
      </c>
      <c r="BH510" s="7" t="s">
        <v>53</v>
      </c>
      <c r="BI510" s="7" t="s">
        <v>22</v>
      </c>
      <c r="BJ510" s="7">
        <v>5.1183685E7</v>
      </c>
      <c r="BK510" s="7">
        <v>3.212173371E9</v>
      </c>
      <c r="BL510" s="7" t="s">
        <v>1004</v>
      </c>
      <c r="BM510" s="7"/>
      <c r="BN510" s="7" t="s">
        <v>24</v>
      </c>
      <c r="BO510" s="7" t="s">
        <v>31</v>
      </c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</row>
    <row r="511" ht="18.0" customHeight="1">
      <c r="A511" s="5" t="s">
        <v>16</v>
      </c>
      <c r="B511" s="106"/>
      <c r="C511" s="111" t="s">
        <v>203</v>
      </c>
      <c r="D511" s="108">
        <v>46050.0</v>
      </c>
      <c r="E511" s="354">
        <v>0.4166666666666667</v>
      </c>
      <c r="F511" s="107" t="s">
        <v>475</v>
      </c>
      <c r="G511" s="111" t="s">
        <v>63</v>
      </c>
      <c r="H511" s="107" t="s">
        <v>53</v>
      </c>
      <c r="I511" s="111" t="s">
        <v>22</v>
      </c>
      <c r="J511" s="111">
        <v>5.2183685E7</v>
      </c>
      <c r="K511" s="111">
        <v>3.212173371E9</v>
      </c>
      <c r="L511" s="359"/>
      <c r="M511" s="360"/>
      <c r="N511" s="356"/>
      <c r="O511" s="359" t="s">
        <v>31</v>
      </c>
      <c r="P511" s="10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</row>
    <row r="512" ht="18.0" customHeight="1">
      <c r="A512" s="5" t="s">
        <v>16</v>
      </c>
      <c r="B512" s="106"/>
      <c r="C512" s="111" t="s">
        <v>203</v>
      </c>
      <c r="D512" s="108">
        <v>46050.0</v>
      </c>
      <c r="E512" s="354">
        <v>0.4166666666666667</v>
      </c>
      <c r="F512" s="107" t="s">
        <v>826</v>
      </c>
      <c r="G512" s="111" t="s">
        <v>63</v>
      </c>
      <c r="H512" s="107" t="s">
        <v>824</v>
      </c>
      <c r="I512" s="111" t="s">
        <v>22</v>
      </c>
      <c r="J512" s="111">
        <v>1.029980511E9</v>
      </c>
      <c r="K512" s="111">
        <v>3.167020987E9</v>
      </c>
      <c r="L512" s="359"/>
      <c r="M512" s="360"/>
      <c r="N512" s="356"/>
      <c r="O512" s="359" t="s">
        <v>31</v>
      </c>
      <c r="P512" s="10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</row>
    <row r="513" ht="18.0" customHeight="1">
      <c r="A513" s="5" t="s">
        <v>16</v>
      </c>
      <c r="B513" s="106"/>
      <c r="C513" s="111" t="s">
        <v>203</v>
      </c>
      <c r="D513" s="108">
        <v>46050.0</v>
      </c>
      <c r="E513" s="354">
        <v>0.4166666666666667</v>
      </c>
      <c r="F513" s="107" t="s">
        <v>475</v>
      </c>
      <c r="G513" s="111" t="s">
        <v>97</v>
      </c>
      <c r="H513" s="107" t="s">
        <v>824</v>
      </c>
      <c r="I513" s="111" t="s">
        <v>22</v>
      </c>
      <c r="J513" s="111">
        <v>1.029980511E9</v>
      </c>
      <c r="K513" s="111">
        <v>3.167020987E9</v>
      </c>
      <c r="L513" s="359"/>
      <c r="M513" s="360"/>
      <c r="N513" s="356"/>
      <c r="O513" s="359" t="s">
        <v>31</v>
      </c>
      <c r="P513" s="10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</row>
    <row r="514" ht="18.0" customHeight="1">
      <c r="A514" s="5" t="s">
        <v>16</v>
      </c>
      <c r="B514" s="106">
        <v>150000.0</v>
      </c>
      <c r="C514" s="111" t="s">
        <v>203</v>
      </c>
      <c r="D514" s="108">
        <v>46050.0</v>
      </c>
      <c r="E514" s="354">
        <v>0.4166666666666667</v>
      </c>
      <c r="F514" s="107" t="s">
        <v>262</v>
      </c>
      <c r="G514" s="111" t="s">
        <v>20</v>
      </c>
      <c r="H514" s="107" t="s">
        <v>874</v>
      </c>
      <c r="I514" s="111" t="s">
        <v>22</v>
      </c>
      <c r="J514" s="111">
        <v>5.1637572E7</v>
      </c>
      <c r="K514" s="111">
        <v>3.00430653E9</v>
      </c>
      <c r="L514" s="359" t="s">
        <v>1005</v>
      </c>
      <c r="M514" s="360"/>
      <c r="N514" s="356"/>
      <c r="O514" s="359" t="s">
        <v>569</v>
      </c>
      <c r="P514" s="107" t="s">
        <v>118</v>
      </c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</row>
    <row r="515" ht="18.0" customHeight="1">
      <c r="A515" s="5" t="s">
        <v>16</v>
      </c>
      <c r="B515" s="106"/>
      <c r="C515" s="111" t="s">
        <v>1000</v>
      </c>
      <c r="D515" s="108">
        <v>46050.0</v>
      </c>
      <c r="E515" s="354">
        <v>0.4166666666666667</v>
      </c>
      <c r="F515" s="107" t="s">
        <v>1006</v>
      </c>
      <c r="G515" s="111" t="s">
        <v>97</v>
      </c>
      <c r="H515" s="107" t="s">
        <v>814</v>
      </c>
      <c r="I515" s="111" t="s">
        <v>22</v>
      </c>
      <c r="J515" s="111">
        <v>4.147557E7</v>
      </c>
      <c r="K515" s="111">
        <v>3.168748185E9</v>
      </c>
      <c r="L515" s="359"/>
      <c r="M515" s="360"/>
      <c r="N515" s="356"/>
      <c r="O515" s="359" t="s">
        <v>31</v>
      </c>
      <c r="P515" s="10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</row>
    <row r="516" ht="18.0" customHeight="1">
      <c r="A516" s="5" t="s">
        <v>16</v>
      </c>
      <c r="B516" s="106">
        <v>550000.0</v>
      </c>
      <c r="C516" s="111" t="s">
        <v>1000</v>
      </c>
      <c r="D516" s="108">
        <v>46050.0</v>
      </c>
      <c r="E516" s="354">
        <v>0.4166666666666667</v>
      </c>
      <c r="F516" s="107" t="s">
        <v>1007</v>
      </c>
      <c r="G516" s="111" t="s">
        <v>215</v>
      </c>
      <c r="H516" s="107" t="s">
        <v>1008</v>
      </c>
      <c r="I516" s="111" t="s">
        <v>22</v>
      </c>
      <c r="J516" s="111">
        <v>9.4528233E7</v>
      </c>
      <c r="K516" s="111">
        <v>3.118203434E9</v>
      </c>
      <c r="L516" s="359"/>
      <c r="M516" s="360" t="s">
        <v>24</v>
      </c>
      <c r="N516" s="356"/>
      <c r="O516" s="359" t="s">
        <v>92</v>
      </c>
      <c r="P516" s="10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</row>
    <row r="517" ht="18.0" customHeight="1">
      <c r="A517" s="5" t="s">
        <v>16</v>
      </c>
      <c r="B517" s="106"/>
      <c r="C517" s="111" t="s">
        <v>1000</v>
      </c>
      <c r="D517" s="108">
        <v>46050.0</v>
      </c>
      <c r="E517" s="354">
        <v>0.4166666666666667</v>
      </c>
      <c r="F517" s="107" t="s">
        <v>475</v>
      </c>
      <c r="G517" s="111" t="s">
        <v>97</v>
      </c>
      <c r="H517" s="107" t="s">
        <v>814</v>
      </c>
      <c r="I517" s="111" t="s">
        <v>22</v>
      </c>
      <c r="J517" s="111">
        <v>4.147557E7</v>
      </c>
      <c r="K517" s="111">
        <v>3.168748185E9</v>
      </c>
      <c r="L517" s="359"/>
      <c r="M517" s="360"/>
      <c r="N517" s="356"/>
      <c r="O517" s="359" t="s">
        <v>31</v>
      </c>
      <c r="P517" s="10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</row>
    <row r="518" ht="18.0" customHeight="1">
      <c r="A518" s="5" t="s">
        <v>16</v>
      </c>
      <c r="B518" s="106">
        <v>150000.0</v>
      </c>
      <c r="C518" s="111" t="s">
        <v>1000</v>
      </c>
      <c r="D518" s="108">
        <v>46050.0</v>
      </c>
      <c r="E518" s="354" t="s">
        <v>1009</v>
      </c>
      <c r="F518" s="107" t="s">
        <v>262</v>
      </c>
      <c r="G518" s="111" t="s">
        <v>959</v>
      </c>
      <c r="H518" s="107" t="s">
        <v>398</v>
      </c>
      <c r="I518" s="111" t="s">
        <v>22</v>
      </c>
      <c r="J518" s="111">
        <v>5.2172287E7</v>
      </c>
      <c r="K518" s="111">
        <v>3.002285725E9</v>
      </c>
      <c r="L518" s="359"/>
      <c r="M518" s="360" t="s">
        <v>24</v>
      </c>
      <c r="N518" s="356"/>
      <c r="O518" s="359" t="s">
        <v>220</v>
      </c>
      <c r="P518" s="10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</row>
    <row r="519" ht="18.0" customHeight="1">
      <c r="A519" s="5" t="s">
        <v>16</v>
      </c>
      <c r="B519" s="106"/>
      <c r="C519" s="111" t="s">
        <v>1000</v>
      </c>
      <c r="D519" s="108">
        <v>46050.0</v>
      </c>
      <c r="E519" s="354" t="s">
        <v>1010</v>
      </c>
      <c r="F519" s="107" t="s">
        <v>378</v>
      </c>
      <c r="G519" s="111" t="s">
        <v>63</v>
      </c>
      <c r="H519" s="107" t="s">
        <v>398</v>
      </c>
      <c r="I519" s="111" t="s">
        <v>22</v>
      </c>
      <c r="J519" s="111">
        <v>5.2172287E7</v>
      </c>
      <c r="K519" s="111">
        <v>3.002285725E9</v>
      </c>
      <c r="L519" s="359"/>
      <c r="M519" s="360" t="s">
        <v>24</v>
      </c>
      <c r="N519" s="356"/>
      <c r="O519" s="359" t="s">
        <v>220</v>
      </c>
      <c r="P519" s="10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</row>
    <row r="520" ht="18.0" customHeight="1">
      <c r="A520" s="5" t="s">
        <v>16</v>
      </c>
      <c r="B520" s="106">
        <v>150000.0</v>
      </c>
      <c r="C520" s="83" t="s">
        <v>1000</v>
      </c>
      <c r="D520" s="125">
        <v>46050.0</v>
      </c>
      <c r="E520" s="83" t="s">
        <v>296</v>
      </c>
      <c r="F520" s="124" t="s">
        <v>262</v>
      </c>
      <c r="G520" s="83" t="s">
        <v>20</v>
      </c>
      <c r="H520" s="124" t="s">
        <v>1011</v>
      </c>
      <c r="I520" s="83" t="s">
        <v>22</v>
      </c>
      <c r="J520" s="363">
        <v>3.5525852E7</v>
      </c>
      <c r="K520" s="364">
        <v>3.196655721E9</v>
      </c>
      <c r="L520" s="219"/>
      <c r="M520" s="360" t="s">
        <v>24</v>
      </c>
      <c r="N520" s="356"/>
      <c r="O520" s="359" t="s">
        <v>1012</v>
      </c>
      <c r="P520" s="107" t="s">
        <v>1013</v>
      </c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</row>
    <row r="521" ht="18.0" customHeight="1">
      <c r="A521" s="5" t="s">
        <v>16</v>
      </c>
      <c r="B521" s="106">
        <v>150000.0</v>
      </c>
      <c r="C521" s="111" t="s">
        <v>1000</v>
      </c>
      <c r="D521" s="108">
        <v>46050.0</v>
      </c>
      <c r="E521" s="354">
        <v>0.5</v>
      </c>
      <c r="F521" s="107" t="s">
        <v>262</v>
      </c>
      <c r="G521" s="111" t="s">
        <v>127</v>
      </c>
      <c r="H521" s="107" t="s">
        <v>962</v>
      </c>
      <c r="I521" s="111" t="s">
        <v>22</v>
      </c>
      <c r="J521" s="111">
        <v>2.02544227E8</v>
      </c>
      <c r="K521" s="111">
        <v>3.50513233E9</v>
      </c>
      <c r="L521" s="359" t="s">
        <v>1014</v>
      </c>
      <c r="M521" s="360" t="s">
        <v>1015</v>
      </c>
      <c r="N521" s="356"/>
      <c r="O521" s="359" t="s">
        <v>92</v>
      </c>
      <c r="P521" s="10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</row>
    <row r="522" ht="18.0" customHeight="1">
      <c r="A522" s="5" t="s">
        <v>16</v>
      </c>
      <c r="B522" s="106">
        <v>150000.0</v>
      </c>
      <c r="C522" s="111" t="s">
        <v>1000</v>
      </c>
      <c r="D522" s="108">
        <v>46050.0</v>
      </c>
      <c r="E522" s="111" t="s">
        <v>531</v>
      </c>
      <c r="F522" s="107" t="s">
        <v>262</v>
      </c>
      <c r="G522" s="111" t="s">
        <v>127</v>
      </c>
      <c r="H522" s="107" t="s">
        <v>1016</v>
      </c>
      <c r="I522" s="111" t="s">
        <v>22</v>
      </c>
      <c r="J522" s="111" t="s">
        <v>1017</v>
      </c>
      <c r="K522" s="111">
        <v>3.001541277E9</v>
      </c>
      <c r="L522" s="359" t="s">
        <v>1018</v>
      </c>
      <c r="M522" s="360" t="s">
        <v>24</v>
      </c>
      <c r="N522" s="356"/>
      <c r="O522" s="359" t="s">
        <v>31</v>
      </c>
      <c r="P522" s="10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</row>
    <row r="523" ht="18.0" customHeight="1">
      <c r="A523" s="5" t="s">
        <v>16</v>
      </c>
      <c r="B523" s="106">
        <v>150000.0</v>
      </c>
      <c r="C523" s="111" t="s">
        <v>1000</v>
      </c>
      <c r="D523" s="108">
        <v>46050.0</v>
      </c>
      <c r="E523" s="111" t="s">
        <v>1019</v>
      </c>
      <c r="F523" s="107" t="s">
        <v>262</v>
      </c>
      <c r="G523" s="111" t="s">
        <v>127</v>
      </c>
      <c r="H523" s="107" t="s">
        <v>1020</v>
      </c>
      <c r="I523" s="111" t="s">
        <v>22</v>
      </c>
      <c r="J523" s="111" t="s">
        <v>1021</v>
      </c>
      <c r="K523" s="111">
        <v>3.001541277E9</v>
      </c>
      <c r="L523" s="359" t="s">
        <v>1022</v>
      </c>
      <c r="M523" s="360" t="s">
        <v>24</v>
      </c>
      <c r="N523" s="356"/>
      <c r="O523" s="359" t="s">
        <v>31</v>
      </c>
      <c r="P523" s="10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</row>
    <row r="524" ht="18.0" customHeight="1">
      <c r="A524" s="5" t="s">
        <v>16</v>
      </c>
      <c r="B524" s="106"/>
      <c r="C524" s="111" t="s">
        <v>1000</v>
      </c>
      <c r="D524" s="108">
        <v>46050.0</v>
      </c>
      <c r="E524" s="354">
        <v>0.5</v>
      </c>
      <c r="F524" s="107" t="s">
        <v>378</v>
      </c>
      <c r="G524" s="111" t="s">
        <v>48</v>
      </c>
      <c r="H524" s="107" t="s">
        <v>401</v>
      </c>
      <c r="I524" s="111" t="s">
        <v>22</v>
      </c>
      <c r="J524" s="111">
        <v>8.002361E7</v>
      </c>
      <c r="K524" s="111">
        <v>3.138031959E9</v>
      </c>
      <c r="L524" s="359"/>
      <c r="M524" s="360"/>
      <c r="N524" s="356"/>
      <c r="O524" s="359" t="s">
        <v>82</v>
      </c>
      <c r="P524" s="10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</row>
    <row r="525" ht="18.0" customHeight="1">
      <c r="A525" s="5" t="s">
        <v>16</v>
      </c>
      <c r="B525" s="185"/>
      <c r="C525" s="220" t="s">
        <v>203</v>
      </c>
      <c r="D525" s="365">
        <v>46043.0</v>
      </c>
      <c r="E525" s="83" t="s">
        <v>1023</v>
      </c>
      <c r="F525" s="127" t="s">
        <v>475</v>
      </c>
      <c r="G525" s="220" t="s">
        <v>63</v>
      </c>
      <c r="H525" s="127" t="s">
        <v>532</v>
      </c>
      <c r="I525" s="220" t="s">
        <v>22</v>
      </c>
      <c r="J525" s="220">
        <v>4.0781167E7</v>
      </c>
      <c r="K525" s="220">
        <v>3.103787343E9</v>
      </c>
      <c r="L525" s="219" t="s">
        <v>1024</v>
      </c>
      <c r="M525" s="218"/>
      <c r="N525" s="230"/>
      <c r="O525" s="229" t="s">
        <v>534</v>
      </c>
      <c r="P525" s="127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2"/>
      <c r="BN525" s="82"/>
      <c r="BO525" s="82"/>
      <c r="BP525" s="82"/>
      <c r="BQ525" s="82"/>
      <c r="BR525" s="82"/>
      <c r="BS525" s="82"/>
      <c r="BT525" s="82"/>
      <c r="BU525" s="82"/>
      <c r="BV525" s="82"/>
      <c r="BW525" s="82"/>
      <c r="BX525" s="82"/>
      <c r="BY525" s="82"/>
      <c r="BZ525" s="82"/>
      <c r="CA525" s="82"/>
      <c r="CB525" s="82"/>
      <c r="CC525" s="82"/>
      <c r="CD525" s="82"/>
      <c r="CE525" s="82"/>
      <c r="CF525" s="82"/>
      <c r="CG525" s="82"/>
      <c r="CH525" s="82"/>
      <c r="CI525" s="82"/>
      <c r="CJ525" s="82"/>
      <c r="CK525" s="82"/>
      <c r="CL525" s="82"/>
      <c r="CM525" s="82"/>
      <c r="CN525" s="82"/>
      <c r="CO525" s="82"/>
      <c r="CP525" s="82"/>
      <c r="CQ525" s="82"/>
      <c r="CR525" s="82"/>
      <c r="CS525" s="82"/>
      <c r="CT525" s="82"/>
      <c r="CU525" s="82"/>
      <c r="CV525" s="82"/>
      <c r="CW525" s="82"/>
      <c r="CX525" s="82"/>
      <c r="CY525" s="82"/>
    </row>
    <row r="526" ht="18.0" customHeight="1">
      <c r="A526" s="5" t="s">
        <v>16</v>
      </c>
      <c r="B526" s="185"/>
      <c r="C526" s="220" t="s">
        <v>203</v>
      </c>
      <c r="D526" s="365">
        <v>46043.0</v>
      </c>
      <c r="E526" s="83" t="s">
        <v>1023</v>
      </c>
      <c r="F526" s="127" t="s">
        <v>650</v>
      </c>
      <c r="G526" s="220" t="s">
        <v>63</v>
      </c>
      <c r="H526" s="127" t="s">
        <v>532</v>
      </c>
      <c r="I526" s="220" t="s">
        <v>22</v>
      </c>
      <c r="J526" s="220">
        <v>4.0781167E7</v>
      </c>
      <c r="K526" s="220">
        <v>3.103787343E9</v>
      </c>
      <c r="L526" s="219" t="s">
        <v>651</v>
      </c>
      <c r="M526" s="218"/>
      <c r="N526" s="230"/>
      <c r="O526" s="229" t="s">
        <v>534</v>
      </c>
      <c r="P526" s="127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2"/>
      <c r="BN526" s="82"/>
      <c r="BO526" s="82"/>
      <c r="BP526" s="82"/>
      <c r="BQ526" s="82"/>
      <c r="BR526" s="82"/>
      <c r="BS526" s="82"/>
      <c r="BT526" s="82"/>
      <c r="BU526" s="82"/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/>
      <c r="CP526" s="82"/>
      <c r="CQ526" s="82"/>
      <c r="CR526" s="82"/>
      <c r="CS526" s="82"/>
      <c r="CT526" s="82"/>
      <c r="CU526" s="82"/>
      <c r="CV526" s="82"/>
      <c r="CW526" s="82"/>
      <c r="CX526" s="82"/>
      <c r="CY526" s="82"/>
    </row>
    <row r="527" ht="18.0" customHeight="1">
      <c r="A527" s="5" t="s">
        <v>16</v>
      </c>
      <c r="B527" s="361">
        <v>150000.0</v>
      </c>
      <c r="C527" s="343" t="s">
        <v>1000</v>
      </c>
      <c r="D527" s="352">
        <v>46050.0</v>
      </c>
      <c r="E527" s="353">
        <v>0.5833333333333334</v>
      </c>
      <c r="F527" s="342" t="s">
        <v>959</v>
      </c>
      <c r="G527" s="343" t="s">
        <v>127</v>
      </c>
      <c r="H527" s="342" t="s">
        <v>1025</v>
      </c>
      <c r="I527" s="343" t="s">
        <v>22</v>
      </c>
      <c r="J527" s="343">
        <v>468790.0</v>
      </c>
      <c r="K527" s="343">
        <v>3.203023221E9</v>
      </c>
      <c r="L527" s="339" t="s">
        <v>1026</v>
      </c>
      <c r="M527" s="308" t="s">
        <v>43</v>
      </c>
      <c r="N527" s="322"/>
      <c r="O527" s="339" t="s">
        <v>92</v>
      </c>
      <c r="P527" s="10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</row>
    <row r="528" ht="18.0" customHeight="1">
      <c r="A528" s="5" t="s">
        <v>16</v>
      </c>
      <c r="B528" s="106"/>
      <c r="C528" s="111"/>
      <c r="D528" s="108"/>
      <c r="E528" s="354"/>
      <c r="F528" s="107"/>
      <c r="G528" s="111"/>
      <c r="H528" s="107"/>
      <c r="I528" s="111"/>
      <c r="J528" s="111"/>
      <c r="K528" s="111"/>
      <c r="L528" s="359"/>
      <c r="M528" s="360"/>
      <c r="N528" s="356"/>
      <c r="O528" s="359"/>
      <c r="P528" s="10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</row>
    <row r="529" ht="18.0" customHeight="1">
      <c r="A529" s="5" t="s">
        <v>16</v>
      </c>
      <c r="B529" s="106">
        <v>680000.0</v>
      </c>
      <c r="C529" s="111" t="s">
        <v>207</v>
      </c>
      <c r="D529" s="108">
        <v>46051.0</v>
      </c>
      <c r="E529" s="354">
        <v>0.3333333333333333</v>
      </c>
      <c r="F529" s="107" t="s">
        <v>829</v>
      </c>
      <c r="G529" s="111" t="s">
        <v>72</v>
      </c>
      <c r="H529" s="107" t="s">
        <v>1027</v>
      </c>
      <c r="I529" s="111"/>
      <c r="J529" s="111">
        <v>7.9893784E7</v>
      </c>
      <c r="K529" s="111">
        <v>3.01495591E8</v>
      </c>
      <c r="L529" s="359"/>
      <c r="M529" s="360"/>
      <c r="N529" s="356"/>
      <c r="O529" s="359" t="s">
        <v>92</v>
      </c>
      <c r="P529" s="10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</row>
    <row r="530" ht="18.0" customHeight="1">
      <c r="A530" s="5" t="s">
        <v>16</v>
      </c>
      <c r="B530" s="106"/>
      <c r="C530" s="111" t="s">
        <v>207</v>
      </c>
      <c r="D530" s="108">
        <v>46051.0</v>
      </c>
      <c r="E530" s="354">
        <v>0.3541666666666667</v>
      </c>
      <c r="F530" s="107" t="s">
        <v>378</v>
      </c>
      <c r="G530" s="111" t="s">
        <v>97</v>
      </c>
      <c r="H530" s="107" t="s">
        <v>843</v>
      </c>
      <c r="I530" s="111" t="s">
        <v>22</v>
      </c>
      <c r="J530" s="111">
        <v>5.182208E7</v>
      </c>
      <c r="K530" s="111">
        <v>3.013053795E9</v>
      </c>
      <c r="L530" s="359"/>
      <c r="M530" s="360"/>
      <c r="N530" s="356"/>
      <c r="O530" s="359" t="s">
        <v>31</v>
      </c>
      <c r="P530" s="10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</row>
    <row r="531" ht="18.0" customHeight="1">
      <c r="A531" s="5" t="s">
        <v>16</v>
      </c>
      <c r="B531" s="106"/>
      <c r="C531" s="111" t="s">
        <v>207</v>
      </c>
      <c r="D531" s="108">
        <v>46051.0</v>
      </c>
      <c r="E531" s="354">
        <v>0.375</v>
      </c>
      <c r="F531" s="107" t="s">
        <v>366</v>
      </c>
      <c r="G531" s="111" t="s">
        <v>97</v>
      </c>
      <c r="H531" s="107" t="s">
        <v>1028</v>
      </c>
      <c r="I531" s="111" t="s">
        <v>22</v>
      </c>
      <c r="J531" s="111">
        <v>5711713.0</v>
      </c>
      <c r="K531" s="111">
        <v>3.12420722E9</v>
      </c>
      <c r="L531" s="359"/>
      <c r="M531" s="360"/>
      <c r="N531" s="356"/>
      <c r="O531" s="359" t="s">
        <v>1029</v>
      </c>
      <c r="P531" s="10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</row>
    <row r="532" ht="18.0" customHeight="1">
      <c r="A532" s="5" t="s">
        <v>16</v>
      </c>
      <c r="B532" s="106"/>
      <c r="C532" s="111" t="s">
        <v>207</v>
      </c>
      <c r="D532" s="108">
        <v>46051.0</v>
      </c>
      <c r="E532" s="354">
        <v>0.4166666666666667</v>
      </c>
      <c r="F532" s="107" t="s">
        <v>378</v>
      </c>
      <c r="G532" s="111" t="s">
        <v>63</v>
      </c>
      <c r="H532" s="107" t="s">
        <v>512</v>
      </c>
      <c r="I532" s="111" t="s">
        <v>22</v>
      </c>
      <c r="J532" s="111">
        <v>5.1699871E7</v>
      </c>
      <c r="K532" s="111">
        <v>3.132660742E9</v>
      </c>
      <c r="L532" s="359" t="s">
        <v>849</v>
      </c>
      <c r="M532" s="360"/>
      <c r="N532" s="356"/>
      <c r="O532" s="359" t="s">
        <v>82</v>
      </c>
      <c r="P532" s="10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</row>
    <row r="533" ht="18.0" customHeight="1">
      <c r="A533" s="5" t="s">
        <v>16</v>
      </c>
      <c r="B533" s="106"/>
      <c r="C533" s="111" t="s">
        <v>207</v>
      </c>
      <c r="D533" s="108">
        <v>46051.0</v>
      </c>
      <c r="E533" s="354">
        <v>0.4583333333333333</v>
      </c>
      <c r="F533" s="107" t="s">
        <v>475</v>
      </c>
      <c r="G533" s="111" t="s">
        <v>63</v>
      </c>
      <c r="H533" s="107" t="s">
        <v>591</v>
      </c>
      <c r="I533" s="111" t="s">
        <v>22</v>
      </c>
      <c r="J533" s="111">
        <v>2.0586925E7</v>
      </c>
      <c r="K533" s="111">
        <v>3.194518567E9</v>
      </c>
      <c r="L533" s="359"/>
      <c r="M533" s="360"/>
      <c r="N533" s="356"/>
      <c r="O533" s="359" t="s">
        <v>82</v>
      </c>
      <c r="P533" s="10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</row>
    <row r="534" ht="18.0" customHeight="1">
      <c r="A534" s="5" t="s">
        <v>16</v>
      </c>
      <c r="B534" s="106"/>
      <c r="C534" s="111" t="s">
        <v>207</v>
      </c>
      <c r="D534" s="108">
        <v>46051.0</v>
      </c>
      <c r="E534" s="354">
        <v>0.4583333333333333</v>
      </c>
      <c r="F534" s="107" t="s">
        <v>928</v>
      </c>
      <c r="G534" s="111" t="s">
        <v>63</v>
      </c>
      <c r="H534" s="107" t="s">
        <v>591</v>
      </c>
      <c r="I534" s="111" t="s">
        <v>22</v>
      </c>
      <c r="J534" s="111">
        <v>2.0586925E7</v>
      </c>
      <c r="K534" s="111">
        <v>3.194518567E9</v>
      </c>
      <c r="L534" s="359"/>
      <c r="M534" s="360"/>
      <c r="N534" s="356"/>
      <c r="O534" s="359" t="s">
        <v>82</v>
      </c>
      <c r="P534" s="10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</row>
    <row r="535" ht="18.0" customHeight="1">
      <c r="A535" s="5"/>
      <c r="B535" s="106"/>
      <c r="C535" s="111" t="s">
        <v>207</v>
      </c>
      <c r="D535" s="108">
        <v>46051.0</v>
      </c>
      <c r="E535" s="354">
        <v>0.4583333333333333</v>
      </c>
      <c r="F535" s="107" t="s">
        <v>55</v>
      </c>
      <c r="G535" s="111" t="s">
        <v>48</v>
      </c>
      <c r="H535" s="107" t="s">
        <v>998</v>
      </c>
      <c r="I535" s="111" t="s">
        <v>22</v>
      </c>
      <c r="J535" s="111">
        <v>1.032427809E9</v>
      </c>
      <c r="K535" s="111">
        <v>3.208509441E9</v>
      </c>
      <c r="L535" s="359"/>
      <c r="M535" s="360"/>
      <c r="N535" s="356"/>
      <c r="O535" s="359" t="s">
        <v>377</v>
      </c>
      <c r="P535" s="10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</row>
    <row r="536" ht="18.0" customHeight="1">
      <c r="A536" s="5"/>
      <c r="B536" s="106"/>
      <c r="C536" s="111" t="s">
        <v>207</v>
      </c>
      <c r="D536" s="108">
        <v>46051.0</v>
      </c>
      <c r="E536" s="354">
        <v>0.4583333333333333</v>
      </c>
      <c r="F536" s="107" t="s">
        <v>366</v>
      </c>
      <c r="G536" s="111" t="s">
        <v>48</v>
      </c>
      <c r="H536" s="107" t="s">
        <v>998</v>
      </c>
      <c r="I536" s="111" t="s">
        <v>22</v>
      </c>
      <c r="J536" s="111">
        <v>1.032427809E9</v>
      </c>
      <c r="K536" s="111">
        <v>3.208509441E9</v>
      </c>
      <c r="L536" s="359"/>
      <c r="M536" s="360"/>
      <c r="N536" s="356"/>
      <c r="O536" s="359" t="s">
        <v>377</v>
      </c>
      <c r="P536" s="10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</row>
    <row r="537" ht="18.0" customHeight="1">
      <c r="A537" s="5" t="s">
        <v>16</v>
      </c>
      <c r="B537" s="106">
        <v>100000.0</v>
      </c>
      <c r="C537" s="111" t="s">
        <v>207</v>
      </c>
      <c r="D537" s="108">
        <v>46051.0</v>
      </c>
      <c r="E537" s="354">
        <v>0.625</v>
      </c>
      <c r="F537" s="107" t="s">
        <v>55</v>
      </c>
      <c r="G537" s="111" t="s">
        <v>48</v>
      </c>
      <c r="H537" s="107" t="s">
        <v>438</v>
      </c>
      <c r="I537" s="111" t="s">
        <v>22</v>
      </c>
      <c r="J537" s="111">
        <v>1.1377135E7</v>
      </c>
      <c r="K537" s="111">
        <v>3.245949137E9</v>
      </c>
      <c r="L537" s="359"/>
      <c r="M537" s="360"/>
      <c r="N537" s="356"/>
      <c r="O537" s="359" t="s">
        <v>377</v>
      </c>
      <c r="P537" s="10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</row>
    <row r="538" ht="18.0" customHeight="1">
      <c r="A538" s="5"/>
      <c r="B538" s="106"/>
      <c r="C538" s="111"/>
      <c r="D538" s="108"/>
      <c r="E538" s="354"/>
      <c r="F538" s="107"/>
      <c r="G538" s="111"/>
      <c r="H538" s="107"/>
      <c r="I538" s="111"/>
      <c r="J538" s="111"/>
      <c r="K538" s="111"/>
      <c r="L538" s="359"/>
      <c r="M538" s="360"/>
      <c r="N538" s="356"/>
      <c r="O538" s="359"/>
      <c r="P538" s="10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</row>
    <row r="539" ht="18.0" customHeight="1">
      <c r="A539" s="5" t="s">
        <v>16</v>
      </c>
      <c r="B539" s="106"/>
      <c r="C539" s="111" t="s">
        <v>17</v>
      </c>
      <c r="D539" s="108">
        <v>46052.0</v>
      </c>
      <c r="E539" s="354">
        <v>0.3333333333333333</v>
      </c>
      <c r="F539" s="107" t="s">
        <v>547</v>
      </c>
      <c r="G539" s="111" t="s">
        <v>48</v>
      </c>
      <c r="H539" s="107" t="s">
        <v>379</v>
      </c>
      <c r="I539" s="111" t="s">
        <v>22</v>
      </c>
      <c r="J539" s="111">
        <v>7.9655441E7</v>
      </c>
      <c r="K539" s="111">
        <v>3.150584678E9</v>
      </c>
      <c r="L539" s="359"/>
      <c r="M539" s="360"/>
      <c r="N539" s="356"/>
      <c r="O539" s="359" t="s">
        <v>377</v>
      </c>
      <c r="P539" s="10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</row>
    <row r="540" ht="18.0" customHeight="1">
      <c r="A540" s="5" t="s">
        <v>16</v>
      </c>
      <c r="B540" s="106"/>
      <c r="C540" s="111" t="s">
        <v>17</v>
      </c>
      <c r="D540" s="108">
        <v>46052.0</v>
      </c>
      <c r="E540" s="354">
        <v>0.3541666666666667</v>
      </c>
      <c r="F540" s="107" t="s">
        <v>475</v>
      </c>
      <c r="G540" s="111" t="s">
        <v>48</v>
      </c>
      <c r="H540" s="107" t="s">
        <v>671</v>
      </c>
      <c r="I540" s="111" t="s">
        <v>22</v>
      </c>
      <c r="J540" s="111">
        <v>2.0743709E7</v>
      </c>
      <c r="K540" s="111">
        <v>3.15539648E9</v>
      </c>
      <c r="L540" s="359"/>
      <c r="M540" s="360"/>
      <c r="N540" s="356"/>
      <c r="O540" s="359" t="s">
        <v>31</v>
      </c>
      <c r="P540" s="10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</row>
    <row r="541" ht="18.0" customHeight="1">
      <c r="A541" s="5" t="s">
        <v>16</v>
      </c>
      <c r="B541" s="106"/>
      <c r="C541" s="111" t="s">
        <v>17</v>
      </c>
      <c r="D541" s="108">
        <v>46052.0</v>
      </c>
      <c r="E541" s="354">
        <v>0.3541666666666667</v>
      </c>
      <c r="F541" s="107" t="s">
        <v>674</v>
      </c>
      <c r="G541" s="111" t="s">
        <v>48</v>
      </c>
      <c r="H541" s="107" t="s">
        <v>671</v>
      </c>
      <c r="I541" s="111" t="s">
        <v>22</v>
      </c>
      <c r="J541" s="111">
        <v>2.0743709E7</v>
      </c>
      <c r="K541" s="111">
        <v>3.15539648E9</v>
      </c>
      <c r="L541" s="359"/>
      <c r="M541" s="360"/>
      <c r="N541" s="356"/>
      <c r="O541" s="359" t="s">
        <v>31</v>
      </c>
      <c r="P541" s="10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</row>
    <row r="542" ht="18.0" customHeight="1">
      <c r="A542" s="5" t="s">
        <v>16</v>
      </c>
      <c r="B542" s="106"/>
      <c r="C542" s="111" t="s">
        <v>17</v>
      </c>
      <c r="D542" s="108">
        <v>46052.0</v>
      </c>
      <c r="E542" s="354">
        <v>0.3541666666666667</v>
      </c>
      <c r="F542" s="107" t="s">
        <v>475</v>
      </c>
      <c r="G542" s="111" t="s">
        <v>48</v>
      </c>
      <c r="H542" s="107" t="s">
        <v>553</v>
      </c>
      <c r="I542" s="111" t="s">
        <v>22</v>
      </c>
      <c r="J542" s="111">
        <v>4.0024236E7</v>
      </c>
      <c r="K542" s="111">
        <v>3.142744518E9</v>
      </c>
      <c r="L542" s="359"/>
      <c r="M542" s="360"/>
      <c r="N542" s="356"/>
      <c r="O542" s="359" t="s">
        <v>444</v>
      </c>
      <c r="P542" s="10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</row>
    <row r="543" ht="18.0" customHeight="1">
      <c r="A543" s="5" t="s">
        <v>16</v>
      </c>
      <c r="B543" s="106"/>
      <c r="C543" s="111" t="s">
        <v>17</v>
      </c>
      <c r="D543" s="108">
        <v>46052.0</v>
      </c>
      <c r="E543" s="354">
        <v>0.3541666666666667</v>
      </c>
      <c r="F543" s="107" t="s">
        <v>688</v>
      </c>
      <c r="G543" s="111" t="s">
        <v>48</v>
      </c>
      <c r="H543" s="107" t="s">
        <v>553</v>
      </c>
      <c r="I543" s="111" t="s">
        <v>22</v>
      </c>
      <c r="J543" s="111">
        <v>4.0024236E7</v>
      </c>
      <c r="K543" s="111">
        <v>3.142744518E9</v>
      </c>
      <c r="L543" s="359"/>
      <c r="M543" s="360"/>
      <c r="N543" s="356"/>
      <c r="O543" s="359" t="s">
        <v>444</v>
      </c>
      <c r="P543" s="10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</row>
    <row r="544" ht="18.0" customHeight="1">
      <c r="A544" s="5" t="s">
        <v>16</v>
      </c>
      <c r="B544" s="106"/>
      <c r="C544" s="111" t="s">
        <v>17</v>
      </c>
      <c r="D544" s="108">
        <v>46052.0</v>
      </c>
      <c r="E544" s="354">
        <v>0.375</v>
      </c>
      <c r="F544" s="107" t="s">
        <v>930</v>
      </c>
      <c r="G544" s="111" t="s">
        <v>63</v>
      </c>
      <c r="H544" s="107" t="s">
        <v>570</v>
      </c>
      <c r="I544" s="111" t="s">
        <v>22</v>
      </c>
      <c r="J544" s="111">
        <v>5.1981953E7</v>
      </c>
      <c r="K544" s="111">
        <v>3.243177071E9</v>
      </c>
      <c r="L544" s="359"/>
      <c r="M544" s="360"/>
      <c r="N544" s="356"/>
      <c r="O544" s="359" t="s">
        <v>569</v>
      </c>
      <c r="P544" s="10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</row>
    <row r="545" ht="18.0" customHeight="1">
      <c r="A545" s="5" t="s">
        <v>16</v>
      </c>
      <c r="B545" s="106"/>
      <c r="C545" s="111" t="s">
        <v>17</v>
      </c>
      <c r="D545" s="108">
        <v>46052.0</v>
      </c>
      <c r="E545" s="354">
        <v>0.375</v>
      </c>
      <c r="F545" s="107" t="s">
        <v>475</v>
      </c>
      <c r="G545" s="111" t="s">
        <v>97</v>
      </c>
      <c r="H545" s="107" t="s">
        <v>570</v>
      </c>
      <c r="I545" s="111" t="s">
        <v>22</v>
      </c>
      <c r="J545" s="111">
        <v>5.1981953E7</v>
      </c>
      <c r="K545" s="111">
        <v>3.243177071E9</v>
      </c>
      <c r="L545" s="359"/>
      <c r="M545" s="360"/>
      <c r="N545" s="356"/>
      <c r="O545" s="359" t="s">
        <v>569</v>
      </c>
      <c r="P545" s="10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</row>
    <row r="546" ht="18.0" customHeight="1">
      <c r="A546" s="5" t="s">
        <v>16</v>
      </c>
      <c r="B546" s="106"/>
      <c r="C546" s="111" t="s">
        <v>17</v>
      </c>
      <c r="D546" s="108">
        <v>46052.0</v>
      </c>
      <c r="E546" s="354">
        <v>0.4166666666666667</v>
      </c>
      <c r="F546" s="107" t="s">
        <v>547</v>
      </c>
      <c r="G546" s="111" t="s">
        <v>97</v>
      </c>
      <c r="H546" s="107" t="s">
        <v>988</v>
      </c>
      <c r="I546" s="111" t="s">
        <v>22</v>
      </c>
      <c r="J546" s="111">
        <v>7.9533551E7</v>
      </c>
      <c r="K546" s="111">
        <v>3.138212902E9</v>
      </c>
      <c r="L546" s="359"/>
      <c r="M546" s="360"/>
      <c r="N546" s="356"/>
      <c r="O546" s="359" t="s">
        <v>978</v>
      </c>
      <c r="P546" s="10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</row>
    <row r="547" ht="18.0" customHeight="1">
      <c r="A547" s="5" t="s">
        <v>16</v>
      </c>
      <c r="B547" s="106"/>
      <c r="C547" s="111" t="s">
        <v>17</v>
      </c>
      <c r="D547" s="108">
        <v>46052.0</v>
      </c>
      <c r="E547" s="354" t="s">
        <v>875</v>
      </c>
      <c r="F547" s="107" t="s">
        <v>475</v>
      </c>
      <c r="G547" s="111" t="s">
        <v>97</v>
      </c>
      <c r="H547" s="107" t="s">
        <v>878</v>
      </c>
      <c r="I547" s="111" t="s">
        <v>22</v>
      </c>
      <c r="J547" s="111">
        <v>5.155458E7</v>
      </c>
      <c r="K547" s="111">
        <v>3.125433064E9</v>
      </c>
      <c r="L547" s="359"/>
      <c r="M547" s="360"/>
      <c r="N547" s="356"/>
      <c r="O547" s="359" t="s">
        <v>31</v>
      </c>
      <c r="P547" s="10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</row>
    <row r="548" ht="18.0" customHeight="1">
      <c r="A548" s="5" t="s">
        <v>16</v>
      </c>
      <c r="B548" s="106"/>
      <c r="C548" s="111" t="s">
        <v>17</v>
      </c>
      <c r="D548" s="108">
        <v>46052.0</v>
      </c>
      <c r="E548" s="354" t="s">
        <v>875</v>
      </c>
      <c r="F548" s="107" t="s">
        <v>881</v>
      </c>
      <c r="G548" s="111" t="s">
        <v>97</v>
      </c>
      <c r="H548" s="107" t="s">
        <v>878</v>
      </c>
      <c r="I548" s="111" t="s">
        <v>22</v>
      </c>
      <c r="J548" s="111">
        <v>5.155458E7</v>
      </c>
      <c r="K548" s="111">
        <v>3.125433064E9</v>
      </c>
      <c r="L548" s="359"/>
      <c r="M548" s="360"/>
      <c r="N548" s="356"/>
      <c r="O548" s="359" t="s">
        <v>31</v>
      </c>
      <c r="P548" s="10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</row>
    <row r="549" ht="18.0" customHeight="1">
      <c r="A549" s="5" t="s">
        <v>16</v>
      </c>
      <c r="B549" s="106"/>
      <c r="C549" s="111" t="s">
        <v>17</v>
      </c>
      <c r="D549" s="108">
        <v>46052.0</v>
      </c>
      <c r="E549" s="354" t="s">
        <v>888</v>
      </c>
      <c r="F549" s="107" t="s">
        <v>892</v>
      </c>
      <c r="G549" s="111" t="s">
        <v>97</v>
      </c>
      <c r="H549" s="107" t="s">
        <v>889</v>
      </c>
      <c r="I549" s="111" t="s">
        <v>22</v>
      </c>
      <c r="J549" s="111">
        <v>5449715.0</v>
      </c>
      <c r="K549" s="111">
        <v>3.123125191E9</v>
      </c>
      <c r="L549" s="359"/>
      <c r="M549" s="360"/>
      <c r="N549" s="356"/>
      <c r="O549" s="359" t="s">
        <v>31</v>
      </c>
      <c r="P549" s="10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</row>
    <row r="550" ht="18.0" customHeight="1">
      <c r="A550" s="5" t="s">
        <v>16</v>
      </c>
      <c r="B550" s="106"/>
      <c r="C550" s="111" t="s">
        <v>17</v>
      </c>
      <c r="D550" s="108">
        <v>46052.0</v>
      </c>
      <c r="E550" s="354">
        <v>0.4583333333333333</v>
      </c>
      <c r="F550" s="107" t="s">
        <v>475</v>
      </c>
      <c r="G550" s="111" t="s">
        <v>48</v>
      </c>
      <c r="H550" s="107" t="s">
        <v>696</v>
      </c>
      <c r="I550" s="111" t="s">
        <v>22</v>
      </c>
      <c r="J550" s="111">
        <v>1.6649087E7</v>
      </c>
      <c r="K550" s="111">
        <v>3.10231325E9</v>
      </c>
      <c r="L550" s="359"/>
      <c r="M550" s="360"/>
      <c r="N550" s="356"/>
      <c r="O550" s="359" t="s">
        <v>377</v>
      </c>
      <c r="P550" s="10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</row>
    <row r="551" ht="18.0" customHeight="1">
      <c r="A551" s="5" t="s">
        <v>16</v>
      </c>
      <c r="B551" s="106"/>
      <c r="C551" s="111" t="s">
        <v>17</v>
      </c>
      <c r="D551" s="108">
        <v>46052.0</v>
      </c>
      <c r="E551" s="354">
        <v>0.4583333333333333</v>
      </c>
      <c r="F551" s="107" t="s">
        <v>846</v>
      </c>
      <c r="G551" s="111" t="s">
        <v>48</v>
      </c>
      <c r="H551" s="107" t="s">
        <v>696</v>
      </c>
      <c r="I551" s="111" t="s">
        <v>22</v>
      </c>
      <c r="J551" s="111">
        <v>1.6649087E7</v>
      </c>
      <c r="K551" s="111">
        <v>3.10231325E9</v>
      </c>
      <c r="L551" s="359"/>
      <c r="M551" s="360"/>
      <c r="N551" s="356"/>
      <c r="O551" s="359" t="s">
        <v>377</v>
      </c>
      <c r="P551" s="10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</row>
    <row r="552" ht="18.0" customHeight="1">
      <c r="A552" s="5" t="s">
        <v>16</v>
      </c>
      <c r="B552" s="106"/>
      <c r="C552" s="111" t="s">
        <v>17</v>
      </c>
      <c r="D552" s="108">
        <v>46052.0</v>
      </c>
      <c r="E552" s="354">
        <v>0.4583333333333333</v>
      </c>
      <c r="F552" s="107" t="s">
        <v>621</v>
      </c>
      <c r="G552" s="111" t="s">
        <v>48</v>
      </c>
      <c r="H552" s="107" t="s">
        <v>692</v>
      </c>
      <c r="I552" s="111" t="s">
        <v>22</v>
      </c>
      <c r="J552" s="111">
        <v>5.2051913E7</v>
      </c>
      <c r="K552" s="111">
        <v>3.10231325E9</v>
      </c>
      <c r="L552" s="359"/>
      <c r="M552" s="360"/>
      <c r="N552" s="356"/>
      <c r="O552" s="359" t="s">
        <v>377</v>
      </c>
      <c r="P552" s="10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</row>
    <row r="553" ht="18.0" customHeight="1">
      <c r="A553" s="5" t="s">
        <v>16</v>
      </c>
      <c r="B553" s="106"/>
      <c r="C553" s="111" t="s">
        <v>17</v>
      </c>
      <c r="D553" s="108">
        <v>46052.0</v>
      </c>
      <c r="E553" s="354">
        <v>0.4583333333333333</v>
      </c>
      <c r="F553" s="107" t="s">
        <v>848</v>
      </c>
      <c r="G553" s="111" t="s">
        <v>48</v>
      </c>
      <c r="H553" s="107" t="s">
        <v>692</v>
      </c>
      <c r="I553" s="111" t="s">
        <v>22</v>
      </c>
      <c r="J553" s="111">
        <v>5.2051913E7</v>
      </c>
      <c r="K553" s="111">
        <v>3.10231325E9</v>
      </c>
      <c r="L553" s="359"/>
      <c r="M553" s="360"/>
      <c r="N553" s="356"/>
      <c r="O553" s="359" t="s">
        <v>377</v>
      </c>
      <c r="P553" s="10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</row>
    <row r="554" ht="18.0" customHeight="1">
      <c r="A554" s="5" t="s">
        <v>16</v>
      </c>
      <c r="B554" s="106"/>
      <c r="C554" s="111"/>
      <c r="D554" s="108"/>
      <c r="E554" s="354"/>
      <c r="F554" s="107"/>
      <c r="G554" s="111"/>
      <c r="H554" s="107"/>
      <c r="I554" s="111"/>
      <c r="J554" s="111"/>
      <c r="K554" s="111"/>
      <c r="L554" s="359"/>
      <c r="M554" s="360"/>
      <c r="N554" s="356"/>
      <c r="O554" s="359"/>
      <c r="P554" s="10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</row>
    <row r="555" ht="18.0" customHeight="1">
      <c r="A555" s="5" t="s">
        <v>16</v>
      </c>
      <c r="B555" s="106"/>
      <c r="C555" s="111" t="s">
        <v>285</v>
      </c>
      <c r="D555" s="108">
        <v>46053.0</v>
      </c>
      <c r="E555" s="354">
        <v>0.3333333333333333</v>
      </c>
      <c r="F555" s="10" t="s">
        <v>378</v>
      </c>
      <c r="G555" s="111" t="s">
        <v>48</v>
      </c>
      <c r="H555" s="107" t="s">
        <v>775</v>
      </c>
      <c r="I555" s="13" t="s">
        <v>22</v>
      </c>
      <c r="J555" s="111">
        <v>4.1647472E7</v>
      </c>
      <c r="K555" s="111">
        <v>3.156743978E9</v>
      </c>
      <c r="L555" s="337"/>
      <c r="M555" s="360"/>
      <c r="N555" s="338"/>
      <c r="O555" s="337" t="s">
        <v>92</v>
      </c>
      <c r="P555" s="10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</row>
    <row r="556" ht="18.0" customHeight="1">
      <c r="A556" s="5" t="s">
        <v>16</v>
      </c>
      <c r="B556" s="106"/>
      <c r="C556" s="111" t="s">
        <v>285</v>
      </c>
      <c r="D556" s="108">
        <v>46053.0</v>
      </c>
      <c r="E556" s="354">
        <v>0.3333333333333333</v>
      </c>
      <c r="F556" s="107" t="s">
        <v>970</v>
      </c>
      <c r="G556" s="111" t="s">
        <v>97</v>
      </c>
      <c r="H556" s="107" t="s">
        <v>971</v>
      </c>
      <c r="I556" s="111" t="s">
        <v>22</v>
      </c>
      <c r="J556" s="111">
        <v>1.15181E7</v>
      </c>
      <c r="K556" s="111">
        <v>3.1335188468E10</v>
      </c>
      <c r="L556" s="359"/>
      <c r="M556" s="360"/>
      <c r="N556" s="356"/>
      <c r="O556" s="359" t="s">
        <v>82</v>
      </c>
      <c r="P556" s="10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</row>
    <row r="557" ht="18.0" customHeight="1">
      <c r="A557" s="5" t="s">
        <v>16</v>
      </c>
      <c r="B557" s="106">
        <v>550000.0</v>
      </c>
      <c r="C557" s="111" t="s">
        <v>285</v>
      </c>
      <c r="D557" s="108">
        <v>46053.0</v>
      </c>
      <c r="E557" s="354">
        <v>0.3333333333333333</v>
      </c>
      <c r="F557" s="107" t="s">
        <v>55</v>
      </c>
      <c r="G557" s="111" t="s">
        <v>191</v>
      </c>
      <c r="H557" s="107" t="s">
        <v>1030</v>
      </c>
      <c r="I557" s="111" t="s">
        <v>22</v>
      </c>
      <c r="J557" s="111">
        <v>7309867.0</v>
      </c>
      <c r="K557" s="111">
        <v>3.204760294E9</v>
      </c>
      <c r="L557" s="359"/>
      <c r="M557" s="360"/>
      <c r="N557" s="356"/>
      <c r="O557" s="359" t="s">
        <v>31</v>
      </c>
      <c r="P557" s="10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</row>
    <row r="558" ht="18.0" customHeight="1">
      <c r="A558" s="5" t="s">
        <v>16</v>
      </c>
      <c r="B558" s="106">
        <v>150000.0</v>
      </c>
      <c r="C558" s="111" t="s">
        <v>285</v>
      </c>
      <c r="D558" s="108">
        <v>46053.0</v>
      </c>
      <c r="E558" s="354">
        <v>0.3333333333333333</v>
      </c>
      <c r="F558" s="107" t="s">
        <v>823</v>
      </c>
      <c r="G558" s="111" t="s">
        <v>20</v>
      </c>
      <c r="H558" s="107" t="s">
        <v>1031</v>
      </c>
      <c r="I558" s="111" t="s">
        <v>22</v>
      </c>
      <c r="J558" s="111"/>
      <c r="K558" s="111">
        <v>3.219493683E9</v>
      </c>
      <c r="L558" s="359" t="s">
        <v>1032</v>
      </c>
      <c r="M558" s="360"/>
      <c r="N558" s="356"/>
      <c r="O558" s="359" t="s">
        <v>31</v>
      </c>
      <c r="P558" s="10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</row>
    <row r="559" ht="18.0" customHeight="1">
      <c r="A559" s="5" t="s">
        <v>16</v>
      </c>
      <c r="B559" s="106">
        <v>550000.0</v>
      </c>
      <c r="C559" s="111" t="s">
        <v>285</v>
      </c>
      <c r="D559" s="108">
        <v>46053.0</v>
      </c>
      <c r="E559" s="354">
        <v>0.3333333333333333</v>
      </c>
      <c r="F559" s="107" t="s">
        <v>55</v>
      </c>
      <c r="G559" s="111" t="s">
        <v>72</v>
      </c>
      <c r="H559" s="107" t="s">
        <v>1033</v>
      </c>
      <c r="I559" s="111" t="s">
        <v>22</v>
      </c>
      <c r="J559" s="111">
        <v>9530919.0</v>
      </c>
      <c r="K559" s="111">
        <v>3.054097388E9</v>
      </c>
      <c r="L559" s="359"/>
      <c r="M559" s="360"/>
      <c r="N559" s="356"/>
      <c r="O559" s="359" t="s">
        <v>220</v>
      </c>
      <c r="P559" s="10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</row>
    <row r="560" ht="18.0" customHeight="1">
      <c r="A560" s="5" t="s">
        <v>16</v>
      </c>
      <c r="B560" s="106"/>
      <c r="C560" s="111" t="s">
        <v>285</v>
      </c>
      <c r="D560" s="108">
        <v>46053.0</v>
      </c>
      <c r="E560" s="354">
        <v>0.3541666666666667</v>
      </c>
      <c r="F560" s="107" t="s">
        <v>378</v>
      </c>
      <c r="G560" s="111" t="s">
        <v>97</v>
      </c>
      <c r="H560" s="107" t="s">
        <v>896</v>
      </c>
      <c r="I560" s="111" t="s">
        <v>22</v>
      </c>
      <c r="J560" s="111">
        <v>3.9545195E7</v>
      </c>
      <c r="K560" s="111">
        <v>3.10207571E9</v>
      </c>
      <c r="L560" s="359"/>
      <c r="M560" s="360"/>
      <c r="N560" s="356"/>
      <c r="O560" s="359" t="s">
        <v>220</v>
      </c>
      <c r="P560" s="10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</row>
    <row r="561" ht="18.0" customHeight="1">
      <c r="A561" s="5"/>
      <c r="B561" s="106"/>
      <c r="C561" s="111" t="s">
        <v>285</v>
      </c>
      <c r="D561" s="108">
        <v>46053.0</v>
      </c>
      <c r="E561" s="354">
        <v>0.3541666666666667</v>
      </c>
      <c r="F561" s="107" t="s">
        <v>378</v>
      </c>
      <c r="G561" s="111" t="s">
        <v>97</v>
      </c>
      <c r="H561" s="107" t="s">
        <v>973</v>
      </c>
      <c r="I561" s="111" t="s">
        <v>22</v>
      </c>
      <c r="J561" s="111">
        <v>2.3487165E7</v>
      </c>
      <c r="K561" s="111">
        <v>3.125033699E9</v>
      </c>
      <c r="L561" s="366"/>
      <c r="M561" s="360"/>
      <c r="N561" s="360"/>
      <c r="O561" s="359" t="s">
        <v>975</v>
      </c>
      <c r="P561" s="10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</row>
    <row r="562" ht="18.0" customHeight="1">
      <c r="A562" s="5" t="s">
        <v>16</v>
      </c>
      <c r="B562" s="106">
        <v>150000.0</v>
      </c>
      <c r="C562" s="111" t="s">
        <v>285</v>
      </c>
      <c r="D562" s="108">
        <v>46053.0</v>
      </c>
      <c r="E562" s="354">
        <v>0.375</v>
      </c>
      <c r="F562" s="107" t="s">
        <v>262</v>
      </c>
      <c r="G562" s="111" t="s">
        <v>20</v>
      </c>
      <c r="H562" s="107" t="s">
        <v>1034</v>
      </c>
      <c r="I562" s="111" t="s">
        <v>22</v>
      </c>
      <c r="J562" s="111">
        <v>3.9748269E7</v>
      </c>
      <c r="K562" s="111">
        <v>3.158137135E9</v>
      </c>
      <c r="L562" s="359" t="s">
        <v>1035</v>
      </c>
      <c r="M562" s="360"/>
      <c r="N562" s="356"/>
      <c r="O562" s="359" t="s">
        <v>444</v>
      </c>
      <c r="P562" s="107" t="s">
        <v>118</v>
      </c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</row>
    <row r="563" ht="18.0" customHeight="1">
      <c r="A563" s="5" t="s">
        <v>16</v>
      </c>
      <c r="B563" s="106"/>
      <c r="C563" s="111" t="s">
        <v>285</v>
      </c>
      <c r="D563" s="108">
        <v>46053.0</v>
      </c>
      <c r="E563" s="354">
        <v>0.375</v>
      </c>
      <c r="F563" s="107" t="s">
        <v>475</v>
      </c>
      <c r="G563" s="111" t="s">
        <v>48</v>
      </c>
      <c r="H563" s="107" t="s">
        <v>581</v>
      </c>
      <c r="I563" s="111" t="s">
        <v>22</v>
      </c>
      <c r="J563" s="111">
        <v>7.9296397E7</v>
      </c>
      <c r="K563" s="111">
        <v>3.203781516E9</v>
      </c>
      <c r="L563" s="359"/>
      <c r="M563" s="360"/>
      <c r="N563" s="356"/>
      <c r="O563" s="359" t="s">
        <v>377</v>
      </c>
      <c r="P563" s="10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</row>
    <row r="564" ht="18.0" customHeight="1">
      <c r="A564" s="5" t="s">
        <v>16</v>
      </c>
      <c r="B564" s="106"/>
      <c r="C564" s="111" t="s">
        <v>285</v>
      </c>
      <c r="D564" s="108">
        <v>46053.0</v>
      </c>
      <c r="E564" s="354">
        <v>0.375</v>
      </c>
      <c r="F564" s="107" t="s">
        <v>582</v>
      </c>
      <c r="G564" s="111" t="s">
        <v>48</v>
      </c>
      <c r="H564" s="107" t="s">
        <v>581</v>
      </c>
      <c r="I564" s="111" t="s">
        <v>22</v>
      </c>
      <c r="J564" s="111">
        <v>7.9296397E7</v>
      </c>
      <c r="K564" s="111">
        <v>3.203781516E9</v>
      </c>
      <c r="L564" s="359"/>
      <c r="M564" s="360"/>
      <c r="N564" s="356"/>
      <c r="O564" s="359" t="s">
        <v>377</v>
      </c>
      <c r="P564" s="10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</row>
    <row r="565" ht="18.0" customHeight="1">
      <c r="A565" s="5" t="s">
        <v>16</v>
      </c>
      <c r="B565" s="106">
        <v>680000.0</v>
      </c>
      <c r="C565" s="111" t="s">
        <v>285</v>
      </c>
      <c r="D565" s="108">
        <v>46053.0</v>
      </c>
      <c r="E565" s="354">
        <v>0.375</v>
      </c>
      <c r="F565" s="107" t="s">
        <v>901</v>
      </c>
      <c r="G565" s="111" t="s">
        <v>97</v>
      </c>
      <c r="H565" s="107" t="s">
        <v>724</v>
      </c>
      <c r="I565" s="111" t="s">
        <v>22</v>
      </c>
      <c r="J565" s="111">
        <v>7.9895917E7</v>
      </c>
      <c r="K565" s="111">
        <v>3.152945156E9</v>
      </c>
      <c r="L565" s="359"/>
      <c r="M565" s="360"/>
      <c r="N565" s="356"/>
      <c r="O565" s="359" t="s">
        <v>92</v>
      </c>
      <c r="P565" s="10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</row>
    <row r="566" ht="18.0" customHeight="1">
      <c r="A566" s="5" t="s">
        <v>16</v>
      </c>
      <c r="B566" s="106">
        <v>440000.0</v>
      </c>
      <c r="C566" s="111" t="s">
        <v>285</v>
      </c>
      <c r="D566" s="108">
        <v>46053.0</v>
      </c>
      <c r="E566" s="354">
        <v>0.375</v>
      </c>
      <c r="F566" s="107" t="s">
        <v>475</v>
      </c>
      <c r="G566" s="111" t="s">
        <v>72</v>
      </c>
      <c r="H566" s="107" t="s">
        <v>724</v>
      </c>
      <c r="I566" s="111" t="s">
        <v>22</v>
      </c>
      <c r="J566" s="111">
        <v>7.9895917E7</v>
      </c>
      <c r="K566" s="111">
        <v>3.152945156E9</v>
      </c>
      <c r="L566" s="359"/>
      <c r="M566" s="360"/>
      <c r="N566" s="356"/>
      <c r="O566" s="359" t="s">
        <v>92</v>
      </c>
      <c r="P566" s="10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</row>
    <row r="567" ht="18.0" customHeight="1">
      <c r="A567" s="5" t="s">
        <v>16</v>
      </c>
      <c r="B567" s="106"/>
      <c r="C567" s="111" t="s">
        <v>285</v>
      </c>
      <c r="D567" s="108">
        <v>46053.0</v>
      </c>
      <c r="E567" s="354">
        <v>0.375</v>
      </c>
      <c r="F567" s="107" t="s">
        <v>904</v>
      </c>
      <c r="G567" s="111" t="s">
        <v>97</v>
      </c>
      <c r="H567" s="107" t="s">
        <v>727</v>
      </c>
      <c r="I567" s="111" t="s">
        <v>22</v>
      </c>
      <c r="J567" s="111">
        <v>1.03058422E9</v>
      </c>
      <c r="K567" s="111">
        <v>3.132462583E9</v>
      </c>
      <c r="L567" s="359"/>
      <c r="M567" s="360"/>
      <c r="N567" s="356"/>
      <c r="O567" s="359" t="s">
        <v>92</v>
      </c>
      <c r="P567" s="10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</row>
    <row r="568" ht="18.0" customHeight="1">
      <c r="A568" s="5" t="s">
        <v>16</v>
      </c>
      <c r="B568" s="106">
        <v>440000.0</v>
      </c>
      <c r="C568" s="111" t="s">
        <v>285</v>
      </c>
      <c r="D568" s="108">
        <v>46053.0</v>
      </c>
      <c r="E568" s="354">
        <v>0.375</v>
      </c>
      <c r="F568" s="107" t="s">
        <v>475</v>
      </c>
      <c r="G568" s="111" t="s">
        <v>72</v>
      </c>
      <c r="H568" s="107" t="s">
        <v>727</v>
      </c>
      <c r="I568" s="111" t="s">
        <v>22</v>
      </c>
      <c r="J568" s="111">
        <v>1.03058422E9</v>
      </c>
      <c r="K568" s="111">
        <v>3.132462583E9</v>
      </c>
      <c r="L568" s="359"/>
      <c r="M568" s="360"/>
      <c r="N568" s="356"/>
      <c r="O568" s="359" t="s">
        <v>92</v>
      </c>
      <c r="P568" s="10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</row>
    <row r="569" ht="18.0" customHeight="1">
      <c r="A569" s="5" t="s">
        <v>16</v>
      </c>
      <c r="B569" s="106"/>
      <c r="C569" s="111" t="s">
        <v>285</v>
      </c>
      <c r="D569" s="108">
        <v>46053.0</v>
      </c>
      <c r="E569" s="354">
        <v>0.375</v>
      </c>
      <c r="F569" s="107" t="s">
        <v>908</v>
      </c>
      <c r="G569" s="111" t="s">
        <v>48</v>
      </c>
      <c r="H569" s="107" t="s">
        <v>541</v>
      </c>
      <c r="I569" s="111" t="s">
        <v>22</v>
      </c>
      <c r="J569" s="111">
        <v>3.9306315E7</v>
      </c>
      <c r="K569" s="111">
        <v>3.023876555E9</v>
      </c>
      <c r="L569" s="359"/>
      <c r="M569" s="360"/>
      <c r="N569" s="356"/>
      <c r="O569" s="359" t="s">
        <v>31</v>
      </c>
      <c r="P569" s="10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</row>
    <row r="570" ht="18.0" customHeight="1">
      <c r="A570" s="5" t="s">
        <v>16</v>
      </c>
      <c r="B570" s="106"/>
      <c r="C570" s="111" t="s">
        <v>285</v>
      </c>
      <c r="D570" s="108">
        <v>46053.0</v>
      </c>
      <c r="E570" s="354">
        <v>0.375</v>
      </c>
      <c r="F570" s="107" t="s">
        <v>475</v>
      </c>
      <c r="G570" s="111" t="s">
        <v>97</v>
      </c>
      <c r="H570" s="107" t="s">
        <v>541</v>
      </c>
      <c r="I570" s="111" t="s">
        <v>22</v>
      </c>
      <c r="J570" s="111">
        <v>3.9306315E7</v>
      </c>
      <c r="K570" s="111">
        <v>3.023876555E9</v>
      </c>
      <c r="L570" s="359"/>
      <c r="M570" s="360"/>
      <c r="N570" s="356"/>
      <c r="O570" s="359" t="s">
        <v>31</v>
      </c>
      <c r="P570" s="10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</row>
    <row r="571" ht="18.0" customHeight="1">
      <c r="A571" s="5" t="s">
        <v>16</v>
      </c>
      <c r="B571" s="106"/>
      <c r="C571" s="111" t="s">
        <v>285</v>
      </c>
      <c r="D571" s="108">
        <v>46053.0</v>
      </c>
      <c r="E571" s="354">
        <v>0.4166666666666667</v>
      </c>
      <c r="F571" s="107" t="s">
        <v>475</v>
      </c>
      <c r="G571" s="111" t="s">
        <v>97</v>
      </c>
      <c r="H571" s="107" t="s">
        <v>919</v>
      </c>
      <c r="I571" s="111" t="s">
        <v>22</v>
      </c>
      <c r="J571" s="111">
        <v>7.9315892E7</v>
      </c>
      <c r="K571" s="111">
        <v>3.222170834E9</v>
      </c>
      <c r="L571" s="359"/>
      <c r="M571" s="360"/>
      <c r="N571" s="356"/>
      <c r="O571" s="359" t="s">
        <v>569</v>
      </c>
      <c r="P571" s="107" t="s">
        <v>118</v>
      </c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</row>
    <row r="572" ht="18.0" customHeight="1">
      <c r="A572" s="5" t="s">
        <v>16</v>
      </c>
      <c r="B572" s="106"/>
      <c r="C572" s="111" t="s">
        <v>285</v>
      </c>
      <c r="D572" s="108">
        <v>46053.0</v>
      </c>
      <c r="E572" s="354">
        <v>0.4166666666666667</v>
      </c>
      <c r="F572" s="107" t="s">
        <v>923</v>
      </c>
      <c r="G572" s="111" t="s">
        <v>97</v>
      </c>
      <c r="H572" s="107" t="s">
        <v>919</v>
      </c>
      <c r="I572" s="111" t="s">
        <v>22</v>
      </c>
      <c r="J572" s="111">
        <v>7.9315892E7</v>
      </c>
      <c r="K572" s="111">
        <v>3.222170834E9</v>
      </c>
      <c r="L572" s="359"/>
      <c r="M572" s="360"/>
      <c r="N572" s="356"/>
      <c r="O572" s="359" t="s">
        <v>569</v>
      </c>
      <c r="P572" s="107" t="s">
        <v>118</v>
      </c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</row>
    <row r="573" ht="18.0" customHeight="1">
      <c r="A573" s="5" t="s">
        <v>16</v>
      </c>
      <c r="B573" s="106">
        <v>127500.0</v>
      </c>
      <c r="C573" s="111" t="s">
        <v>285</v>
      </c>
      <c r="D573" s="108">
        <v>46053.0</v>
      </c>
      <c r="E573" s="354" t="s">
        <v>221</v>
      </c>
      <c r="F573" s="107" t="s">
        <v>262</v>
      </c>
      <c r="G573" s="111" t="s">
        <v>20</v>
      </c>
      <c r="H573" s="107" t="s">
        <v>1036</v>
      </c>
      <c r="I573" s="111" t="s">
        <v>22</v>
      </c>
      <c r="J573" s="111">
        <v>5.285421E7</v>
      </c>
      <c r="K573" s="111">
        <v>3.103225371E9</v>
      </c>
      <c r="L573" s="359" t="s">
        <v>1037</v>
      </c>
      <c r="M573" s="360"/>
      <c r="N573" s="356"/>
      <c r="O573" s="359" t="s">
        <v>978</v>
      </c>
      <c r="P573" s="10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</row>
    <row r="574" ht="18.0" customHeight="1">
      <c r="A574" s="5"/>
      <c r="B574" s="106">
        <v>150000.0</v>
      </c>
      <c r="C574" s="111" t="s">
        <v>285</v>
      </c>
      <c r="D574" s="108">
        <v>46053.0</v>
      </c>
      <c r="E574" s="367">
        <v>0.4791666666666667</v>
      </c>
      <c r="F574" s="107" t="s">
        <v>262</v>
      </c>
      <c r="G574" s="111" t="s">
        <v>20</v>
      </c>
      <c r="H574" s="368" t="s">
        <v>1038</v>
      </c>
      <c r="I574" s="111" t="s">
        <v>303</v>
      </c>
      <c r="J574" s="111">
        <v>3.9070462E7</v>
      </c>
      <c r="K574" s="111">
        <v>3.001949341E9</v>
      </c>
      <c r="L574" s="359"/>
      <c r="M574" s="360"/>
      <c r="N574" s="356"/>
      <c r="O574" s="359" t="s">
        <v>92</v>
      </c>
      <c r="P574" s="10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</row>
    <row r="575" ht="18.0" customHeight="1">
      <c r="A575" s="5" t="s">
        <v>16</v>
      </c>
      <c r="B575" s="106"/>
      <c r="C575" s="111" t="s">
        <v>285</v>
      </c>
      <c r="D575" s="108">
        <v>46053.0</v>
      </c>
      <c r="E575" s="354">
        <v>0.4791666666666667</v>
      </c>
      <c r="F575" s="107" t="s">
        <v>475</v>
      </c>
      <c r="G575" s="111" t="s">
        <v>48</v>
      </c>
      <c r="H575" s="107" t="s">
        <v>757</v>
      </c>
      <c r="I575" s="111" t="s">
        <v>22</v>
      </c>
      <c r="J575" s="111">
        <v>9.3152188E7</v>
      </c>
      <c r="K575" s="111">
        <v>3.132564594E9</v>
      </c>
      <c r="L575" s="359"/>
      <c r="M575" s="360"/>
      <c r="N575" s="356"/>
      <c r="O575" s="359" t="s">
        <v>640</v>
      </c>
      <c r="P575" s="10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</row>
    <row r="576" ht="18.0" customHeight="1">
      <c r="A576" s="5" t="s">
        <v>16</v>
      </c>
      <c r="B576" s="106"/>
      <c r="C576" s="111" t="s">
        <v>285</v>
      </c>
      <c r="D576" s="108">
        <v>46053.0</v>
      </c>
      <c r="E576" s="354">
        <v>0.4791666666666667</v>
      </c>
      <c r="F576" s="107" t="s">
        <v>642</v>
      </c>
      <c r="G576" s="111" t="s">
        <v>48</v>
      </c>
      <c r="H576" s="107" t="s">
        <v>757</v>
      </c>
      <c r="I576" s="111" t="s">
        <v>22</v>
      </c>
      <c r="J576" s="111">
        <v>9.3152188E7</v>
      </c>
      <c r="K576" s="111">
        <v>3.132564594E9</v>
      </c>
      <c r="L576" s="359"/>
      <c r="M576" s="360"/>
      <c r="N576" s="356"/>
      <c r="O576" s="359" t="s">
        <v>640</v>
      </c>
      <c r="P576" s="10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</row>
    <row r="577" ht="18.0" customHeight="1">
      <c r="A577" s="5" t="s">
        <v>16</v>
      </c>
      <c r="B577" s="106">
        <v>220000.0</v>
      </c>
      <c r="C577" s="111" t="s">
        <v>285</v>
      </c>
      <c r="D577" s="108">
        <v>46053.0</v>
      </c>
      <c r="E577" s="354">
        <v>0.4791666666666667</v>
      </c>
      <c r="F577" s="107" t="s">
        <v>475</v>
      </c>
      <c r="G577" s="111" t="s">
        <v>63</v>
      </c>
      <c r="H577" s="107" t="s">
        <v>606</v>
      </c>
      <c r="I577" s="111" t="s">
        <v>22</v>
      </c>
      <c r="J577" s="111">
        <v>5.2984831E7</v>
      </c>
      <c r="K577" s="111">
        <v>3.114721654E9</v>
      </c>
      <c r="L577" s="359"/>
      <c r="M577" s="360"/>
      <c r="N577" s="356"/>
      <c r="O577" s="359" t="s">
        <v>377</v>
      </c>
      <c r="P577" s="10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</row>
    <row r="578" ht="18.0" customHeight="1">
      <c r="A578" s="5" t="s">
        <v>16</v>
      </c>
      <c r="B578" s="106">
        <v>300000.0</v>
      </c>
      <c r="C578" s="111" t="s">
        <v>285</v>
      </c>
      <c r="D578" s="108">
        <v>46053.0</v>
      </c>
      <c r="E578" s="354">
        <v>0.4791666666666667</v>
      </c>
      <c r="F578" s="107" t="s">
        <v>605</v>
      </c>
      <c r="G578" s="111" t="s">
        <v>63</v>
      </c>
      <c r="H578" s="107" t="s">
        <v>606</v>
      </c>
      <c r="I578" s="111" t="s">
        <v>22</v>
      </c>
      <c r="J578" s="111">
        <v>5.2984831E7</v>
      </c>
      <c r="K578" s="111">
        <v>3.114721654E9</v>
      </c>
      <c r="L578" s="359"/>
      <c r="M578" s="360"/>
      <c r="N578" s="356"/>
      <c r="O578" s="359" t="s">
        <v>377</v>
      </c>
      <c r="P578" s="10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</row>
    <row r="579" ht="18.0" customHeight="1">
      <c r="A579" s="5" t="s">
        <v>16</v>
      </c>
      <c r="B579" s="106">
        <v>60000.0</v>
      </c>
      <c r="C579" s="111" t="s">
        <v>285</v>
      </c>
      <c r="D579" s="108">
        <v>46053.0</v>
      </c>
      <c r="E579" s="354">
        <v>0.4791666666666667</v>
      </c>
      <c r="F579" s="107" t="s">
        <v>366</v>
      </c>
      <c r="G579" s="111" t="s">
        <v>63</v>
      </c>
      <c r="H579" s="107" t="s">
        <v>606</v>
      </c>
      <c r="I579" s="111" t="s">
        <v>22</v>
      </c>
      <c r="J579" s="111">
        <v>5.2984831E7</v>
      </c>
      <c r="K579" s="111">
        <v>3.114721654E9</v>
      </c>
      <c r="L579" s="359"/>
      <c r="M579" s="360"/>
      <c r="N579" s="356"/>
      <c r="O579" s="359" t="s">
        <v>377</v>
      </c>
      <c r="P579" s="10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</row>
    <row r="580" ht="18.0" customHeight="1">
      <c r="A580" s="5" t="s">
        <v>16</v>
      </c>
      <c r="B580" s="106"/>
      <c r="C580" s="111" t="s">
        <v>285</v>
      </c>
      <c r="D580" s="108">
        <v>46053.0</v>
      </c>
      <c r="E580" s="354">
        <v>0.020833333333333332</v>
      </c>
      <c r="F580" s="107" t="s">
        <v>475</v>
      </c>
      <c r="G580" s="111" t="s">
        <v>48</v>
      </c>
      <c r="H580" s="107" t="s">
        <v>574</v>
      </c>
      <c r="I580" s="111" t="s">
        <v>22</v>
      </c>
      <c r="J580" s="111">
        <v>1.070953121E9</v>
      </c>
      <c r="K580" s="111">
        <v>3.132947132E9</v>
      </c>
      <c r="L580" s="359"/>
      <c r="M580" s="360"/>
      <c r="N580" s="356"/>
      <c r="O580" s="359" t="s">
        <v>44</v>
      </c>
      <c r="P580" s="10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</row>
    <row r="581" ht="18.0" customHeight="1">
      <c r="A581" s="5" t="s">
        <v>16</v>
      </c>
      <c r="B581" s="106"/>
      <c r="C581" s="111" t="s">
        <v>285</v>
      </c>
      <c r="D581" s="108">
        <v>46053.0</v>
      </c>
      <c r="E581" s="354">
        <v>0.020833333333333332</v>
      </c>
      <c r="F581" s="107" t="s">
        <v>691</v>
      </c>
      <c r="G581" s="111" t="s">
        <v>48</v>
      </c>
      <c r="H581" s="107" t="s">
        <v>574</v>
      </c>
      <c r="I581" s="111" t="s">
        <v>22</v>
      </c>
      <c r="J581" s="111">
        <v>1.070953121E9</v>
      </c>
      <c r="K581" s="111">
        <v>3.132947132E9</v>
      </c>
      <c r="L581" s="359"/>
      <c r="M581" s="360"/>
      <c r="N581" s="356"/>
      <c r="O581" s="359" t="s">
        <v>44</v>
      </c>
      <c r="P581" s="10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</row>
    <row r="582" ht="18.0" customHeight="1">
      <c r="A582" s="5" t="s">
        <v>16</v>
      </c>
      <c r="B582" s="106"/>
      <c r="C582" s="111" t="s">
        <v>285</v>
      </c>
      <c r="D582" s="108">
        <v>46053.0</v>
      </c>
      <c r="E582" s="354">
        <v>0.5416666666666666</v>
      </c>
      <c r="F582" s="107" t="s">
        <v>55</v>
      </c>
      <c r="G582" s="111" t="s">
        <v>97</v>
      </c>
      <c r="H582" s="107" t="s">
        <v>898</v>
      </c>
      <c r="I582" s="111" t="s">
        <v>22</v>
      </c>
      <c r="J582" s="111">
        <v>8.0919302E7</v>
      </c>
      <c r="K582" s="111">
        <v>3.20226287E9</v>
      </c>
      <c r="L582" s="359"/>
      <c r="M582" s="360"/>
      <c r="N582" s="356"/>
      <c r="O582" s="359" t="s">
        <v>92</v>
      </c>
      <c r="P582" s="10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</row>
    <row r="583" ht="18.0" customHeight="1">
      <c r="A583" s="5"/>
      <c r="B583" s="106"/>
      <c r="C583" s="111"/>
      <c r="D583" s="108"/>
      <c r="E583" s="354"/>
      <c r="F583" s="107"/>
      <c r="G583" s="111"/>
      <c r="H583" s="107"/>
      <c r="I583" s="111"/>
      <c r="J583" s="111"/>
      <c r="K583" s="111"/>
      <c r="L583" s="359"/>
      <c r="M583" s="360"/>
      <c r="N583" s="356"/>
      <c r="O583" s="359"/>
      <c r="P583" s="10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</row>
    <row r="584" ht="18.0" customHeight="1">
      <c r="A584" s="369" t="s">
        <v>369</v>
      </c>
      <c r="B584" s="106"/>
      <c r="C584" s="111" t="s">
        <v>100</v>
      </c>
      <c r="D584" s="108">
        <v>46055.0</v>
      </c>
      <c r="E584" s="354">
        <v>0.3333333333333333</v>
      </c>
      <c r="F584" s="10" t="s">
        <v>378</v>
      </c>
      <c r="G584" s="111" t="s">
        <v>48</v>
      </c>
      <c r="H584" s="107" t="s">
        <v>775</v>
      </c>
      <c r="I584" s="13" t="s">
        <v>22</v>
      </c>
      <c r="J584" s="111">
        <v>4.1647472E7</v>
      </c>
      <c r="K584" s="111">
        <v>3.156743978E9</v>
      </c>
      <c r="L584" s="337"/>
      <c r="M584" s="360"/>
      <c r="N584" s="338"/>
      <c r="O584" s="337" t="s">
        <v>92</v>
      </c>
      <c r="P584" s="10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</row>
    <row r="585" ht="18.0" customHeight="1">
      <c r="A585" s="369" t="s">
        <v>369</v>
      </c>
      <c r="B585" s="106"/>
      <c r="C585" s="111" t="s">
        <v>100</v>
      </c>
      <c r="D585" s="108">
        <v>46055.0</v>
      </c>
      <c r="E585" s="354">
        <v>0.3333333333333333</v>
      </c>
      <c r="F585" s="10" t="s">
        <v>55</v>
      </c>
      <c r="G585" s="111" t="s">
        <v>63</v>
      </c>
      <c r="H585" s="107" t="s">
        <v>786</v>
      </c>
      <c r="I585" s="13" t="s">
        <v>22</v>
      </c>
      <c r="J585" s="111">
        <v>8.0269435E7</v>
      </c>
      <c r="K585" s="111">
        <v>3.10511508E9</v>
      </c>
      <c r="L585" s="337"/>
      <c r="M585" s="338"/>
      <c r="N585" s="338"/>
      <c r="O585" s="337" t="s">
        <v>31</v>
      </c>
      <c r="P585" s="10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</row>
    <row r="586" ht="18.0" customHeight="1">
      <c r="A586" s="369" t="s">
        <v>369</v>
      </c>
      <c r="B586" s="106"/>
      <c r="C586" s="111" t="s">
        <v>100</v>
      </c>
      <c r="D586" s="108">
        <v>46055.0</v>
      </c>
      <c r="E586" s="354">
        <v>0.375</v>
      </c>
      <c r="F586" s="10" t="s">
        <v>811</v>
      </c>
      <c r="G586" s="111" t="s">
        <v>97</v>
      </c>
      <c r="H586" s="107" t="s">
        <v>945</v>
      </c>
      <c r="I586" s="13" t="s">
        <v>22</v>
      </c>
      <c r="J586" s="111">
        <v>7.9056223E7</v>
      </c>
      <c r="K586" s="111">
        <v>3.188036968E9</v>
      </c>
      <c r="L586" s="337"/>
      <c r="M586" s="338"/>
      <c r="N586" s="338"/>
      <c r="O586" s="337" t="s">
        <v>220</v>
      </c>
      <c r="P586" s="10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</row>
    <row r="587" ht="18.0" customHeight="1">
      <c r="A587" s="369" t="s">
        <v>369</v>
      </c>
      <c r="B587" s="106"/>
      <c r="C587" s="111" t="s">
        <v>100</v>
      </c>
      <c r="D587" s="108">
        <v>46055.0</v>
      </c>
      <c r="E587" s="354">
        <v>0.375</v>
      </c>
      <c r="F587" s="10" t="s">
        <v>954</v>
      </c>
      <c r="G587" s="111" t="s">
        <v>97</v>
      </c>
      <c r="H587" s="107" t="s">
        <v>955</v>
      </c>
      <c r="I587" s="13" t="s">
        <v>22</v>
      </c>
      <c r="J587" s="111">
        <v>7.9348466E7</v>
      </c>
      <c r="K587" s="111">
        <v>3.188036968E9</v>
      </c>
      <c r="L587" s="337"/>
      <c r="M587" s="338"/>
      <c r="N587" s="338"/>
      <c r="O587" s="337" t="s">
        <v>220</v>
      </c>
      <c r="P587" s="10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</row>
    <row r="588" ht="18.0" customHeight="1">
      <c r="A588" s="369" t="s">
        <v>369</v>
      </c>
      <c r="B588" s="106"/>
      <c r="C588" s="111" t="s">
        <v>100</v>
      </c>
      <c r="D588" s="108">
        <v>46055.0</v>
      </c>
      <c r="E588" s="354">
        <v>0.4166666666666667</v>
      </c>
      <c r="F588" s="10" t="s">
        <v>378</v>
      </c>
      <c r="G588" s="111" t="s">
        <v>63</v>
      </c>
      <c r="H588" s="107" t="s">
        <v>742</v>
      </c>
      <c r="I588" s="13" t="s">
        <v>22</v>
      </c>
      <c r="J588" s="111">
        <v>3.9799037E7</v>
      </c>
      <c r="K588" s="111">
        <v>3.138683253E9</v>
      </c>
      <c r="L588" s="337"/>
      <c r="M588" s="338"/>
      <c r="N588" s="338"/>
      <c r="O588" s="337" t="s">
        <v>220</v>
      </c>
      <c r="P588" s="10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</row>
    <row r="589" ht="18.0" customHeight="1">
      <c r="A589" s="369" t="s">
        <v>369</v>
      </c>
      <c r="B589" s="106"/>
      <c r="C589" s="111" t="s">
        <v>100</v>
      </c>
      <c r="D589" s="108">
        <v>46055.0</v>
      </c>
      <c r="E589" s="354">
        <v>0.4166666666666667</v>
      </c>
      <c r="F589" s="10" t="s">
        <v>55</v>
      </c>
      <c r="G589" s="111" t="s">
        <v>63</v>
      </c>
      <c r="H589" s="107" t="s">
        <v>963</v>
      </c>
      <c r="I589" s="13" t="s">
        <v>22</v>
      </c>
      <c r="J589" s="111">
        <v>2.3944658E7</v>
      </c>
      <c r="K589" s="111">
        <v>3.003066989E9</v>
      </c>
      <c r="L589" s="337"/>
      <c r="M589" s="338"/>
      <c r="N589" s="338"/>
      <c r="O589" s="337" t="s">
        <v>377</v>
      </c>
      <c r="P589" s="10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</row>
    <row r="590" ht="18.0" customHeight="1">
      <c r="A590" s="369" t="s">
        <v>369</v>
      </c>
      <c r="B590" s="106">
        <v>300000.0</v>
      </c>
      <c r="C590" s="111" t="s">
        <v>100</v>
      </c>
      <c r="D590" s="108">
        <v>46055.0</v>
      </c>
      <c r="E590" s="354">
        <v>0.4166666666666667</v>
      </c>
      <c r="F590" s="10" t="s">
        <v>55</v>
      </c>
      <c r="G590" s="111" t="s">
        <v>97</v>
      </c>
      <c r="H590" s="107" t="s">
        <v>965</v>
      </c>
      <c r="I590" s="13" t="s">
        <v>22</v>
      </c>
      <c r="J590" s="111">
        <v>8.0366815E7</v>
      </c>
      <c r="K590" s="111">
        <v>3.20386589E9</v>
      </c>
      <c r="L590" s="337"/>
      <c r="M590" s="338"/>
      <c r="N590" s="338"/>
      <c r="O590" s="337" t="s">
        <v>704</v>
      </c>
      <c r="P590" s="10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</row>
    <row r="591" ht="18.0" customHeight="1">
      <c r="A591" s="369" t="s">
        <v>369</v>
      </c>
      <c r="B591" s="106"/>
      <c r="C591" s="111"/>
      <c r="D591" s="108"/>
      <c r="E591" s="354"/>
      <c r="F591" s="107"/>
      <c r="G591" s="111"/>
      <c r="H591" s="107"/>
      <c r="I591" s="111"/>
      <c r="J591" s="111"/>
      <c r="K591" s="111"/>
      <c r="L591" s="337"/>
      <c r="M591" s="338"/>
      <c r="N591" s="338"/>
      <c r="O591" s="344"/>
      <c r="P591" s="10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</row>
    <row r="592" ht="18.0" customHeight="1">
      <c r="A592" s="369" t="s">
        <v>369</v>
      </c>
      <c r="B592" s="106">
        <v>380000.0</v>
      </c>
      <c r="C592" s="111" t="s">
        <v>141</v>
      </c>
      <c r="D592" s="108">
        <v>46056.0</v>
      </c>
      <c r="E592" s="354">
        <v>0.3541666666666667</v>
      </c>
      <c r="F592" s="10" t="s">
        <v>984</v>
      </c>
      <c r="G592" s="111" t="s">
        <v>97</v>
      </c>
      <c r="H592" s="107" t="s">
        <v>982</v>
      </c>
      <c r="I592" s="13" t="s">
        <v>22</v>
      </c>
      <c r="J592" s="111">
        <v>329827.0</v>
      </c>
      <c r="K592" s="111">
        <v>3.102326928E9</v>
      </c>
      <c r="L592" s="337"/>
      <c r="M592" s="338"/>
      <c r="N592" s="338"/>
      <c r="O592" s="337" t="s">
        <v>978</v>
      </c>
      <c r="P592" s="10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</row>
    <row r="593" ht="18.0" customHeight="1">
      <c r="A593" s="369" t="s">
        <v>369</v>
      </c>
      <c r="B593" s="106">
        <v>220000.0</v>
      </c>
      <c r="C593" s="111" t="s">
        <v>141</v>
      </c>
      <c r="D593" s="108">
        <v>46056.0</v>
      </c>
      <c r="E593" s="354">
        <v>0.3541666666666667</v>
      </c>
      <c r="F593" s="10" t="s">
        <v>475</v>
      </c>
      <c r="G593" s="111" t="s">
        <v>97</v>
      </c>
      <c r="H593" s="107" t="s">
        <v>976</v>
      </c>
      <c r="I593" s="13" t="s">
        <v>22</v>
      </c>
      <c r="J593" s="111">
        <v>1.000118312E9</v>
      </c>
      <c r="K593" s="111">
        <v>3.125626848E9</v>
      </c>
      <c r="L593" s="337"/>
      <c r="M593" s="338"/>
      <c r="N593" s="338"/>
      <c r="O593" s="337" t="s">
        <v>978</v>
      </c>
      <c r="P593" s="10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</row>
    <row r="594" ht="18.0" customHeight="1">
      <c r="A594" s="369" t="s">
        <v>369</v>
      </c>
      <c r="B594" s="106">
        <v>380000.0</v>
      </c>
      <c r="C594" s="111" t="s">
        <v>141</v>
      </c>
      <c r="D594" s="108">
        <v>46056.0</v>
      </c>
      <c r="E594" s="354">
        <v>0.3541666666666667</v>
      </c>
      <c r="F594" s="10" t="s">
        <v>980</v>
      </c>
      <c r="G594" s="111" t="s">
        <v>97</v>
      </c>
      <c r="H594" s="107" t="s">
        <v>976</v>
      </c>
      <c r="I594" s="13" t="s">
        <v>22</v>
      </c>
      <c r="J594" s="111">
        <v>1.000118312E9</v>
      </c>
      <c r="K594" s="111">
        <v>3.125626848E9</v>
      </c>
      <c r="L594" s="337"/>
      <c r="M594" s="338"/>
      <c r="N594" s="338"/>
      <c r="O594" s="337" t="s">
        <v>978</v>
      </c>
      <c r="P594" s="10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</row>
    <row r="595" ht="18.0" customHeight="1">
      <c r="A595" s="369" t="s">
        <v>369</v>
      </c>
      <c r="B595" s="106"/>
      <c r="C595" s="111" t="s">
        <v>141</v>
      </c>
      <c r="D595" s="108">
        <v>46056.0</v>
      </c>
      <c r="E595" s="354">
        <v>0.375</v>
      </c>
      <c r="F595" s="10" t="s">
        <v>475</v>
      </c>
      <c r="G595" s="111" t="s">
        <v>48</v>
      </c>
      <c r="H595" s="107" t="s">
        <v>509</v>
      </c>
      <c r="I595" s="13" t="s">
        <v>22</v>
      </c>
      <c r="J595" s="111">
        <v>2.0472332E7</v>
      </c>
      <c r="K595" s="111">
        <v>3.133629981E9</v>
      </c>
      <c r="L595" s="337"/>
      <c r="M595" s="338"/>
      <c r="N595" s="338"/>
      <c r="O595" s="337" t="s">
        <v>377</v>
      </c>
      <c r="P595" s="10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</row>
    <row r="596" ht="18.0" customHeight="1">
      <c r="A596" s="369" t="s">
        <v>369</v>
      </c>
      <c r="B596" s="106"/>
      <c r="C596" s="111" t="s">
        <v>141</v>
      </c>
      <c r="D596" s="108">
        <v>46056.0</v>
      </c>
      <c r="E596" s="354">
        <v>0.375</v>
      </c>
      <c r="F596" s="10" t="s">
        <v>660</v>
      </c>
      <c r="G596" s="111" t="s">
        <v>48</v>
      </c>
      <c r="H596" s="107" t="s">
        <v>509</v>
      </c>
      <c r="I596" s="13" t="s">
        <v>22</v>
      </c>
      <c r="J596" s="111">
        <v>2.0472332E7</v>
      </c>
      <c r="K596" s="111">
        <v>3.133629981E9</v>
      </c>
      <c r="L596" s="337"/>
      <c r="M596" s="338"/>
      <c r="N596" s="338"/>
      <c r="O596" s="337" t="s">
        <v>377</v>
      </c>
      <c r="P596" s="10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</row>
    <row r="597" ht="18.0" customHeight="1">
      <c r="A597" s="369" t="s">
        <v>369</v>
      </c>
      <c r="B597" s="106"/>
      <c r="C597" s="111" t="s">
        <v>141</v>
      </c>
      <c r="D597" s="108">
        <v>46056.0</v>
      </c>
      <c r="E597" s="354">
        <v>0.4166666666666667</v>
      </c>
      <c r="F597" s="10" t="s">
        <v>475</v>
      </c>
      <c r="G597" s="111" t="s">
        <v>63</v>
      </c>
      <c r="H597" s="107" t="s">
        <v>584</v>
      </c>
      <c r="I597" s="13" t="s">
        <v>22</v>
      </c>
      <c r="J597" s="111">
        <v>2.0959058E7</v>
      </c>
      <c r="K597" s="111">
        <v>3.215985591E9</v>
      </c>
      <c r="L597" s="337"/>
      <c r="M597" s="338"/>
      <c r="N597" s="338"/>
      <c r="O597" s="337" t="s">
        <v>31</v>
      </c>
      <c r="P597" s="10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</row>
    <row r="598" ht="18.0" customHeight="1">
      <c r="A598" s="369" t="s">
        <v>369</v>
      </c>
      <c r="B598" s="106"/>
      <c r="C598" s="111" t="s">
        <v>141</v>
      </c>
      <c r="D598" s="108">
        <v>46056.0</v>
      </c>
      <c r="E598" s="354">
        <v>0.4166666666666667</v>
      </c>
      <c r="F598" s="10" t="s">
        <v>616</v>
      </c>
      <c r="G598" s="111" t="s">
        <v>63</v>
      </c>
      <c r="H598" s="107" t="s">
        <v>584</v>
      </c>
      <c r="I598" s="13" t="s">
        <v>22</v>
      </c>
      <c r="J598" s="111">
        <v>2.0959058E7</v>
      </c>
      <c r="K598" s="111">
        <v>3.215985591E9</v>
      </c>
      <c r="L598" s="337"/>
      <c r="M598" s="338"/>
      <c r="N598" s="338"/>
      <c r="O598" s="337" t="s">
        <v>31</v>
      </c>
      <c r="P598" s="10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</row>
    <row r="599" ht="18.0" customHeight="1">
      <c r="A599" s="369"/>
      <c r="B599" s="106"/>
      <c r="C599" s="111"/>
      <c r="D599" s="108"/>
      <c r="E599" s="354"/>
      <c r="F599" s="10"/>
      <c r="G599" s="111"/>
      <c r="H599" s="107"/>
      <c r="I599" s="13"/>
      <c r="J599" s="111"/>
      <c r="K599" s="111"/>
      <c r="L599" s="337"/>
      <c r="M599" s="338"/>
      <c r="N599" s="338"/>
      <c r="O599" s="337"/>
      <c r="P599" s="10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</row>
    <row r="600" ht="18.0" customHeight="1">
      <c r="A600" s="369"/>
      <c r="B600" s="106"/>
      <c r="C600" s="111"/>
      <c r="D600" s="108"/>
      <c r="E600" s="354"/>
      <c r="F600" s="10"/>
      <c r="G600" s="111"/>
      <c r="H600" s="107"/>
      <c r="I600" s="13"/>
      <c r="J600" s="111"/>
      <c r="K600" s="111"/>
      <c r="L600" s="337"/>
      <c r="M600" s="338"/>
      <c r="N600" s="338"/>
      <c r="O600" s="337"/>
      <c r="P600" s="10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</row>
    <row r="601" ht="18.0" customHeight="1">
      <c r="A601" s="369"/>
      <c r="B601" s="106"/>
      <c r="C601" s="111"/>
      <c r="D601" s="108"/>
      <c r="E601" s="354"/>
      <c r="F601" s="10"/>
      <c r="G601" s="111"/>
      <c r="H601" s="107"/>
      <c r="I601" s="13"/>
      <c r="J601" s="111"/>
      <c r="K601" s="111"/>
      <c r="L601" s="337"/>
      <c r="M601" s="338"/>
      <c r="N601" s="338"/>
      <c r="O601" s="337"/>
      <c r="P601" s="10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</row>
    <row r="602" ht="18.0" customHeight="1">
      <c r="A602" s="369"/>
      <c r="B602" s="106"/>
      <c r="C602" s="111"/>
      <c r="D602" s="108"/>
      <c r="E602" s="354"/>
      <c r="F602" s="10"/>
      <c r="G602" s="111"/>
      <c r="H602" s="107"/>
      <c r="I602" s="13"/>
      <c r="J602" s="111"/>
      <c r="K602" s="111"/>
      <c r="L602" s="337"/>
      <c r="M602" s="338"/>
      <c r="N602" s="338"/>
      <c r="O602" s="337"/>
      <c r="P602" s="10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</row>
    <row r="603" ht="18.0" customHeight="1">
      <c r="A603" s="369" t="s">
        <v>369</v>
      </c>
      <c r="B603" s="106">
        <v>550000.0</v>
      </c>
      <c r="C603" s="111" t="s">
        <v>203</v>
      </c>
      <c r="D603" s="108">
        <v>46057.0</v>
      </c>
      <c r="E603" s="354">
        <v>0.3333333333333333</v>
      </c>
      <c r="F603" s="10" t="s">
        <v>55</v>
      </c>
      <c r="G603" s="111" t="s">
        <v>72</v>
      </c>
      <c r="H603" s="107" t="s">
        <v>1039</v>
      </c>
      <c r="I603" s="13" t="s">
        <v>22</v>
      </c>
      <c r="J603" s="111">
        <v>7124569.0</v>
      </c>
      <c r="K603" s="111">
        <v>3.213087357E9</v>
      </c>
      <c r="L603" s="337"/>
      <c r="M603" s="338"/>
      <c r="N603" s="338"/>
      <c r="O603" s="337" t="s">
        <v>220</v>
      </c>
      <c r="P603" s="10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</row>
    <row r="604" ht="18.0" customHeight="1">
      <c r="A604" s="369"/>
      <c r="B604" s="106"/>
      <c r="C604" s="111"/>
      <c r="D604" s="108"/>
      <c r="E604" s="354"/>
      <c r="F604" s="10"/>
      <c r="G604" s="111"/>
      <c r="H604" s="107"/>
      <c r="I604" s="13"/>
      <c r="J604" s="111"/>
      <c r="K604" s="111"/>
      <c r="L604" s="337"/>
      <c r="M604" s="338"/>
      <c r="N604" s="338"/>
      <c r="O604" s="337"/>
      <c r="P604" s="10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</row>
    <row r="605" ht="18.0" customHeight="1">
      <c r="A605" s="369" t="s">
        <v>369</v>
      </c>
      <c r="B605" s="106"/>
      <c r="C605" s="111" t="s">
        <v>77</v>
      </c>
      <c r="D605" s="108">
        <v>46060.0</v>
      </c>
      <c r="E605" s="354">
        <v>0.4166666666666667</v>
      </c>
      <c r="F605" s="10" t="s">
        <v>508</v>
      </c>
      <c r="G605" s="111" t="s">
        <v>48</v>
      </c>
      <c r="H605" s="107" t="s">
        <v>419</v>
      </c>
      <c r="I605" s="13" t="s">
        <v>22</v>
      </c>
      <c r="J605" s="111">
        <v>1.030559123E9</v>
      </c>
      <c r="K605" s="111">
        <v>3.105889136E9</v>
      </c>
      <c r="L605" s="337"/>
      <c r="M605" s="338"/>
      <c r="N605" s="338"/>
      <c r="O605" s="337" t="s">
        <v>82</v>
      </c>
      <c r="P605" s="10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</row>
    <row r="606" ht="18.0" customHeight="1">
      <c r="A606" s="369" t="s">
        <v>369</v>
      </c>
      <c r="B606" s="106">
        <v>550000.0</v>
      </c>
      <c r="C606" s="111" t="s">
        <v>77</v>
      </c>
      <c r="D606" s="108">
        <v>46060.0</v>
      </c>
      <c r="E606" s="370" t="s">
        <v>1019</v>
      </c>
      <c r="F606" s="371" t="s">
        <v>1040</v>
      </c>
      <c r="G606" s="370" t="s">
        <v>215</v>
      </c>
      <c r="H606" s="371" t="s">
        <v>1041</v>
      </c>
      <c r="I606" s="111" t="s">
        <v>22</v>
      </c>
      <c r="J606" s="111">
        <v>3.9675783E7</v>
      </c>
      <c r="K606" s="372">
        <v>3.144638259E9</v>
      </c>
      <c r="L606" s="344" t="s">
        <v>1042</v>
      </c>
      <c r="M606" s="338"/>
      <c r="N606" s="338"/>
      <c r="O606" s="344" t="s">
        <v>31</v>
      </c>
      <c r="P606" s="10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</row>
    <row r="607" ht="18.0" customHeight="1">
      <c r="A607" s="369" t="s">
        <v>369</v>
      </c>
      <c r="B607" s="106"/>
      <c r="C607" s="13"/>
      <c r="D607" s="11"/>
      <c r="E607" s="13"/>
      <c r="F607" s="10"/>
      <c r="G607" s="13"/>
      <c r="H607" s="10"/>
      <c r="I607" s="13"/>
      <c r="J607" s="13"/>
      <c r="K607" s="13"/>
      <c r="L607" s="337"/>
      <c r="M607" s="338"/>
      <c r="N607" s="338"/>
      <c r="O607" s="337"/>
      <c r="P607" s="10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</row>
    <row r="608" ht="18.0" customHeight="1">
      <c r="A608" s="369" t="s">
        <v>369</v>
      </c>
      <c r="B608" s="106"/>
      <c r="C608" s="13"/>
      <c r="D608" s="11"/>
      <c r="E608" s="13"/>
      <c r="F608" s="10"/>
      <c r="G608" s="13"/>
      <c r="H608" s="10"/>
      <c r="I608" s="13"/>
      <c r="J608" s="13"/>
      <c r="K608" s="13"/>
      <c r="L608" s="337"/>
      <c r="M608" s="338"/>
      <c r="N608" s="338"/>
      <c r="O608" s="337"/>
      <c r="P608" s="10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</row>
    <row r="609" ht="18.0" customHeight="1">
      <c r="A609" s="369" t="s">
        <v>369</v>
      </c>
      <c r="B609" s="106"/>
      <c r="C609" s="13"/>
      <c r="D609" s="11"/>
      <c r="E609" s="13"/>
      <c r="F609" s="10"/>
      <c r="G609" s="13"/>
      <c r="H609" s="10"/>
      <c r="I609" s="13"/>
      <c r="J609" s="13"/>
      <c r="K609" s="13"/>
      <c r="L609" s="337"/>
      <c r="M609" s="338"/>
      <c r="N609" s="338"/>
      <c r="O609" s="337"/>
      <c r="P609" s="10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</row>
    <row r="610" ht="18.0" customHeight="1">
      <c r="A610" s="369" t="s">
        <v>369</v>
      </c>
      <c r="B610" s="106"/>
      <c r="C610" s="13"/>
      <c r="D610" s="11"/>
      <c r="E610" s="13"/>
      <c r="F610" s="10"/>
      <c r="G610" s="13"/>
      <c r="H610" s="10"/>
      <c r="I610" s="13"/>
      <c r="J610" s="13"/>
      <c r="K610" s="13"/>
      <c r="L610" s="337"/>
      <c r="M610" s="338"/>
      <c r="N610" s="338"/>
      <c r="O610" s="337"/>
      <c r="P610" s="10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</row>
    <row r="611" ht="18.0" customHeight="1">
      <c r="A611" s="369" t="s">
        <v>369</v>
      </c>
      <c r="B611" s="106"/>
      <c r="C611" s="13"/>
      <c r="D611" s="11"/>
      <c r="E611" s="13"/>
      <c r="F611" s="10"/>
      <c r="G611" s="13"/>
      <c r="H611" s="10"/>
      <c r="I611" s="13"/>
      <c r="J611" s="13"/>
      <c r="K611" s="13"/>
      <c r="L611" s="337"/>
      <c r="M611" s="338"/>
      <c r="N611" s="338"/>
      <c r="O611" s="337"/>
      <c r="P611" s="10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</row>
    <row r="612" ht="18.0" customHeight="1">
      <c r="A612" s="369" t="s">
        <v>369</v>
      </c>
      <c r="B612" s="106"/>
      <c r="C612" s="13"/>
      <c r="D612" s="11"/>
      <c r="E612" s="13"/>
      <c r="F612" s="10"/>
      <c r="G612" s="13"/>
      <c r="H612" s="10"/>
      <c r="I612" s="13"/>
      <c r="J612" s="13"/>
      <c r="K612" s="13"/>
      <c r="L612" s="337"/>
      <c r="M612" s="338"/>
      <c r="N612" s="338"/>
      <c r="O612" s="337"/>
      <c r="P612" s="10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</row>
    <row r="613" ht="18.0" customHeight="1">
      <c r="A613" s="369" t="s">
        <v>369</v>
      </c>
      <c r="B613" s="106"/>
      <c r="C613" s="13"/>
      <c r="D613" s="11"/>
      <c r="E613" s="13"/>
      <c r="F613" s="10"/>
      <c r="G613" s="13"/>
      <c r="H613" s="10"/>
      <c r="I613" s="13"/>
      <c r="J613" s="13"/>
      <c r="K613" s="13"/>
      <c r="L613" s="337"/>
      <c r="M613" s="338"/>
      <c r="N613" s="338"/>
      <c r="O613" s="337"/>
      <c r="P613" s="10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</row>
    <row r="614" ht="18.0" customHeight="1">
      <c r="A614" s="369" t="s">
        <v>369</v>
      </c>
      <c r="B614" s="106"/>
      <c r="C614" s="13"/>
      <c r="D614" s="11"/>
      <c r="E614" s="13"/>
      <c r="F614" s="10"/>
      <c r="G614" s="13"/>
      <c r="H614" s="10"/>
      <c r="I614" s="13"/>
      <c r="J614" s="13"/>
      <c r="K614" s="13"/>
      <c r="L614" s="337"/>
      <c r="M614" s="338"/>
      <c r="N614" s="338"/>
      <c r="O614" s="33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</row>
    <row r="615" ht="18.0" customHeight="1">
      <c r="A615" s="369" t="s">
        <v>369</v>
      </c>
      <c r="B615" s="106"/>
      <c r="C615" s="13"/>
      <c r="D615" s="11"/>
      <c r="E615" s="13"/>
      <c r="F615" s="10"/>
      <c r="G615" s="13"/>
      <c r="H615" s="10"/>
      <c r="I615" s="13"/>
      <c r="J615" s="13"/>
      <c r="K615" s="13"/>
      <c r="L615" s="337"/>
      <c r="M615" s="338"/>
      <c r="N615" s="338"/>
      <c r="O615" s="33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</row>
    <row r="616" ht="18.0" customHeight="1">
      <c r="A616" s="369" t="s">
        <v>369</v>
      </c>
      <c r="B616" s="106"/>
      <c r="C616" s="13"/>
      <c r="D616" s="11"/>
      <c r="E616" s="13"/>
      <c r="F616" s="10"/>
      <c r="G616" s="13"/>
      <c r="H616" s="10"/>
      <c r="I616" s="13"/>
      <c r="J616" s="13"/>
      <c r="K616" s="13"/>
      <c r="L616" s="337"/>
      <c r="M616" s="338"/>
      <c r="N616" s="338"/>
      <c r="O616" s="33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</row>
    <row r="617" ht="18.0" customHeight="1">
      <c r="A617" s="369" t="s">
        <v>369</v>
      </c>
      <c r="B617" s="106"/>
      <c r="C617" s="13"/>
      <c r="D617" s="11"/>
      <c r="E617" s="13"/>
      <c r="F617" s="10"/>
      <c r="G617" s="13"/>
      <c r="H617" s="10"/>
      <c r="I617" s="13"/>
      <c r="J617" s="13"/>
      <c r="K617" s="13"/>
      <c r="L617" s="337"/>
      <c r="M617" s="338"/>
      <c r="N617" s="338"/>
      <c r="O617" s="33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</row>
    <row r="618" ht="18.0" customHeight="1">
      <c r="A618" s="369" t="s">
        <v>369</v>
      </c>
      <c r="B618" s="106"/>
      <c r="C618" s="13"/>
      <c r="D618" s="11"/>
      <c r="E618" s="13"/>
      <c r="F618" s="10"/>
      <c r="G618" s="13"/>
      <c r="H618" s="10"/>
      <c r="I618" s="13"/>
      <c r="J618" s="13"/>
      <c r="K618" s="13"/>
      <c r="L618" s="337"/>
      <c r="M618" s="338"/>
      <c r="N618" s="338"/>
      <c r="O618" s="33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</row>
    <row r="619" ht="18.0" customHeight="1">
      <c r="A619" s="369" t="s">
        <v>369</v>
      </c>
      <c r="B619" s="106"/>
      <c r="C619" s="13"/>
      <c r="D619" s="11"/>
      <c r="E619" s="13"/>
      <c r="F619" s="10"/>
      <c r="G619" s="13"/>
      <c r="H619" s="10"/>
      <c r="I619" s="13"/>
      <c r="J619" s="13"/>
      <c r="K619" s="13"/>
      <c r="L619" s="337"/>
      <c r="M619" s="338"/>
      <c r="N619" s="338"/>
      <c r="O619" s="33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</row>
    <row r="620" ht="18.0" customHeight="1">
      <c r="A620" s="369" t="s">
        <v>369</v>
      </c>
      <c r="B620" s="106"/>
      <c r="C620" s="13"/>
      <c r="D620" s="11"/>
      <c r="E620" s="13"/>
      <c r="F620" s="10"/>
      <c r="G620" s="13"/>
      <c r="H620" s="10"/>
      <c r="I620" s="13"/>
      <c r="J620" s="13"/>
      <c r="K620" s="13"/>
      <c r="L620" s="337"/>
      <c r="M620" s="338"/>
      <c r="N620" s="338"/>
      <c r="O620" s="33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</row>
    <row r="621" ht="18.0" customHeight="1">
      <c r="A621" s="369" t="s">
        <v>369</v>
      </c>
      <c r="B621" s="106"/>
      <c r="C621" s="13"/>
      <c r="D621" s="11"/>
      <c r="E621" s="13"/>
      <c r="F621" s="10"/>
      <c r="G621" s="13"/>
      <c r="H621" s="10"/>
      <c r="I621" s="13"/>
      <c r="J621" s="13"/>
      <c r="K621" s="13"/>
      <c r="L621" s="337"/>
      <c r="M621" s="338"/>
      <c r="N621" s="338"/>
      <c r="O621" s="33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</row>
    <row r="622" ht="18.0" customHeight="1">
      <c r="A622" s="369" t="s">
        <v>369</v>
      </c>
      <c r="B622" s="106"/>
      <c r="C622" s="13"/>
      <c r="D622" s="11"/>
      <c r="E622" s="13"/>
      <c r="F622" s="10"/>
      <c r="G622" s="13"/>
      <c r="H622" s="10"/>
      <c r="I622" s="13"/>
      <c r="J622" s="13"/>
      <c r="K622" s="13"/>
      <c r="L622" s="337"/>
      <c r="M622" s="338"/>
      <c r="N622" s="338"/>
      <c r="O622" s="33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</row>
    <row r="623" ht="18.0" customHeight="1">
      <c r="A623" s="369" t="s">
        <v>369</v>
      </c>
      <c r="B623" s="106"/>
      <c r="C623" s="13"/>
      <c r="D623" s="11"/>
      <c r="E623" s="13"/>
      <c r="F623" s="10"/>
      <c r="G623" s="13"/>
      <c r="H623" s="10"/>
      <c r="I623" s="13"/>
      <c r="J623" s="13"/>
      <c r="K623" s="13"/>
      <c r="L623" s="337"/>
      <c r="M623" s="338"/>
      <c r="N623" s="338"/>
      <c r="O623" s="33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</row>
    <row r="624" ht="18.0" customHeight="1">
      <c r="A624" s="369" t="s">
        <v>369</v>
      </c>
      <c r="B624" s="106"/>
      <c r="C624" s="13"/>
      <c r="D624" s="11"/>
      <c r="E624" s="13"/>
      <c r="F624" s="10"/>
      <c r="G624" s="13"/>
      <c r="H624" s="10"/>
      <c r="I624" s="13"/>
      <c r="J624" s="13"/>
      <c r="K624" s="13"/>
      <c r="L624" s="337"/>
      <c r="M624" s="338"/>
      <c r="N624" s="338"/>
      <c r="O624" s="33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</row>
    <row r="625" ht="18.0" customHeight="1">
      <c r="A625" s="369" t="s">
        <v>369</v>
      </c>
      <c r="B625" s="106"/>
      <c r="C625" s="13"/>
      <c r="D625" s="11"/>
      <c r="E625" s="13"/>
      <c r="F625" s="10"/>
      <c r="G625" s="13"/>
      <c r="H625" s="10"/>
      <c r="I625" s="13"/>
      <c r="J625" s="13"/>
      <c r="K625" s="13"/>
      <c r="L625" s="337"/>
      <c r="M625" s="338"/>
      <c r="N625" s="338"/>
      <c r="O625" s="33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</row>
    <row r="626" ht="18.0" customHeight="1">
      <c r="A626" s="369" t="s">
        <v>369</v>
      </c>
      <c r="B626" s="106"/>
      <c r="C626" s="13"/>
      <c r="D626" s="11"/>
      <c r="E626" s="13"/>
      <c r="F626" s="10"/>
      <c r="G626" s="13"/>
      <c r="H626" s="10"/>
      <c r="I626" s="13"/>
      <c r="J626" s="13"/>
      <c r="K626" s="13"/>
      <c r="L626" s="337"/>
      <c r="M626" s="338"/>
      <c r="N626" s="338"/>
      <c r="O626" s="33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</row>
    <row r="627" ht="18.0" customHeight="1">
      <c r="A627" s="369" t="s">
        <v>369</v>
      </c>
      <c r="B627" s="106"/>
      <c r="C627" s="13"/>
      <c r="D627" s="11"/>
      <c r="E627" s="13"/>
      <c r="F627" s="10"/>
      <c r="G627" s="13"/>
      <c r="H627" s="10"/>
      <c r="I627" s="13"/>
      <c r="J627" s="13"/>
      <c r="K627" s="13"/>
      <c r="L627" s="337"/>
      <c r="M627" s="338"/>
      <c r="N627" s="338"/>
      <c r="O627" s="33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</row>
    <row r="628" ht="18.0" customHeight="1">
      <c r="A628" s="369" t="s">
        <v>369</v>
      </c>
      <c r="B628" s="106"/>
      <c r="C628" s="13"/>
      <c r="D628" s="11"/>
      <c r="E628" s="13"/>
      <c r="F628" s="10"/>
      <c r="G628" s="13"/>
      <c r="H628" s="10"/>
      <c r="I628" s="13"/>
      <c r="J628" s="13"/>
      <c r="K628" s="13"/>
      <c r="L628" s="337"/>
      <c r="M628" s="338"/>
      <c r="N628" s="338"/>
      <c r="O628" s="33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</row>
    <row r="629" ht="18.0" customHeight="1">
      <c r="A629" s="369" t="s">
        <v>369</v>
      </c>
      <c r="B629" s="106"/>
      <c r="C629" s="13"/>
      <c r="D629" s="11"/>
      <c r="E629" s="13"/>
      <c r="F629" s="10"/>
      <c r="G629" s="13"/>
      <c r="H629" s="10"/>
      <c r="I629" s="13"/>
      <c r="J629" s="13"/>
      <c r="K629" s="13"/>
      <c r="L629" s="337"/>
      <c r="M629" s="338"/>
      <c r="N629" s="338"/>
      <c r="O629" s="33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</row>
    <row r="630" ht="18.0" customHeight="1">
      <c r="A630" s="369" t="s">
        <v>369</v>
      </c>
      <c r="B630" s="106"/>
      <c r="C630" s="13"/>
      <c r="D630" s="11"/>
      <c r="E630" s="13"/>
      <c r="F630" s="10"/>
      <c r="G630" s="13"/>
      <c r="H630" s="10"/>
      <c r="I630" s="13"/>
      <c r="J630" s="13"/>
      <c r="K630" s="13"/>
      <c r="L630" s="337"/>
      <c r="M630" s="338"/>
      <c r="N630" s="338"/>
      <c r="O630" s="33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</row>
    <row r="631" ht="18.0" customHeight="1">
      <c r="A631" s="369" t="s">
        <v>369</v>
      </c>
      <c r="B631" s="106"/>
      <c r="C631" s="13"/>
      <c r="D631" s="11"/>
      <c r="E631" s="13"/>
      <c r="F631" s="10"/>
      <c r="G631" s="13"/>
      <c r="H631" s="10"/>
      <c r="I631" s="13"/>
      <c r="J631" s="13"/>
      <c r="K631" s="13"/>
      <c r="L631" s="337"/>
      <c r="M631" s="338"/>
      <c r="N631" s="338"/>
      <c r="O631" s="33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</row>
    <row r="632" ht="18.0" customHeight="1">
      <c r="A632" s="369" t="s">
        <v>369</v>
      </c>
      <c r="B632" s="106"/>
      <c r="C632" s="13"/>
      <c r="D632" s="11"/>
      <c r="E632" s="13"/>
      <c r="F632" s="10"/>
      <c r="G632" s="13"/>
      <c r="H632" s="10"/>
      <c r="I632" s="13"/>
      <c r="J632" s="13"/>
      <c r="K632" s="13"/>
      <c r="L632" s="337"/>
      <c r="M632" s="338"/>
      <c r="N632" s="338"/>
      <c r="O632" s="33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</row>
    <row r="633" ht="18.0" customHeight="1">
      <c r="A633" s="369" t="s">
        <v>369</v>
      </c>
      <c r="B633" s="106"/>
      <c r="C633" s="13"/>
      <c r="D633" s="11"/>
      <c r="E633" s="13"/>
      <c r="F633" s="10"/>
      <c r="G633" s="13"/>
      <c r="H633" s="10"/>
      <c r="I633" s="13"/>
      <c r="J633" s="13"/>
      <c r="K633" s="13"/>
      <c r="L633" s="337"/>
      <c r="M633" s="338"/>
      <c r="N633" s="338"/>
      <c r="O633" s="33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</row>
    <row r="634" ht="18.0" customHeight="1">
      <c r="A634" s="369" t="s">
        <v>369</v>
      </c>
      <c r="B634" s="106"/>
      <c r="C634" s="13"/>
      <c r="D634" s="11"/>
      <c r="E634" s="13"/>
      <c r="F634" s="10"/>
      <c r="G634" s="13"/>
      <c r="H634" s="10"/>
      <c r="I634" s="13"/>
      <c r="J634" s="13"/>
      <c r="K634" s="13"/>
      <c r="L634" s="337"/>
      <c r="M634" s="338"/>
      <c r="N634" s="338"/>
      <c r="O634" s="33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</row>
    <row r="635" ht="18.0" customHeight="1">
      <c r="A635" s="369" t="s">
        <v>369</v>
      </c>
      <c r="B635" s="106"/>
      <c r="C635" s="13"/>
      <c r="D635" s="11"/>
      <c r="E635" s="13"/>
      <c r="F635" s="10"/>
      <c r="G635" s="13"/>
      <c r="H635" s="10"/>
      <c r="I635" s="13"/>
      <c r="J635" s="13"/>
      <c r="K635" s="13"/>
      <c r="L635" s="337"/>
      <c r="M635" s="338"/>
      <c r="N635" s="338"/>
      <c r="O635" s="33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</row>
    <row r="636" ht="18.0" customHeight="1">
      <c r="A636" s="369" t="s">
        <v>369</v>
      </c>
      <c r="B636" s="106"/>
      <c r="C636" s="13"/>
      <c r="D636" s="11"/>
      <c r="E636" s="13"/>
      <c r="F636" s="10"/>
      <c r="G636" s="13"/>
      <c r="H636" s="10"/>
      <c r="I636" s="13"/>
      <c r="J636" s="13"/>
      <c r="K636" s="13"/>
      <c r="L636" s="337"/>
      <c r="M636" s="338"/>
      <c r="N636" s="338"/>
      <c r="O636" s="33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</row>
    <row r="637" ht="18.0" customHeight="1">
      <c r="A637" s="369" t="s">
        <v>369</v>
      </c>
      <c r="B637" s="106"/>
      <c r="C637" s="13"/>
      <c r="D637" s="11"/>
      <c r="E637" s="13"/>
      <c r="F637" s="10"/>
      <c r="G637" s="13"/>
      <c r="H637" s="10"/>
      <c r="I637" s="13"/>
      <c r="J637" s="13"/>
      <c r="K637" s="13"/>
      <c r="L637" s="337"/>
      <c r="M637" s="338"/>
      <c r="N637" s="338"/>
      <c r="O637" s="33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</row>
    <row r="638" ht="18.0" customHeight="1">
      <c r="A638" s="369" t="s">
        <v>369</v>
      </c>
      <c r="B638" s="106"/>
      <c r="C638" s="13"/>
      <c r="D638" s="11"/>
      <c r="E638" s="13"/>
      <c r="F638" s="10"/>
      <c r="G638" s="13"/>
      <c r="H638" s="10"/>
      <c r="I638" s="13"/>
      <c r="J638" s="13"/>
      <c r="K638" s="13"/>
      <c r="L638" s="337"/>
      <c r="M638" s="338"/>
      <c r="N638" s="338"/>
      <c r="O638" s="33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</row>
    <row r="639" ht="18.0" customHeight="1">
      <c r="A639" s="369" t="s">
        <v>369</v>
      </c>
      <c r="B639" s="106"/>
      <c r="C639" s="13"/>
      <c r="D639" s="11"/>
      <c r="E639" s="13"/>
      <c r="F639" s="10"/>
      <c r="G639" s="13"/>
      <c r="H639" s="10"/>
      <c r="I639" s="13"/>
      <c r="J639" s="13"/>
      <c r="K639" s="13"/>
      <c r="L639" s="337"/>
      <c r="M639" s="338"/>
      <c r="N639" s="338"/>
      <c r="O639" s="33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</row>
    <row r="640" ht="18.0" customHeight="1">
      <c r="A640" s="369" t="s">
        <v>369</v>
      </c>
      <c r="B640" s="106"/>
      <c r="C640" s="13"/>
      <c r="D640" s="11"/>
      <c r="E640" s="13"/>
      <c r="F640" s="10"/>
      <c r="G640" s="13"/>
      <c r="H640" s="10"/>
      <c r="I640" s="13"/>
      <c r="J640" s="13"/>
      <c r="K640" s="13"/>
      <c r="L640" s="337"/>
      <c r="M640" s="338"/>
      <c r="N640" s="338"/>
      <c r="O640" s="33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</row>
    <row r="641" ht="18.0" customHeight="1">
      <c r="A641" s="369" t="s">
        <v>369</v>
      </c>
      <c r="B641" s="106"/>
      <c r="C641" s="13"/>
      <c r="D641" s="11"/>
      <c r="E641" s="13"/>
      <c r="F641" s="10"/>
      <c r="G641" s="13"/>
      <c r="H641" s="10"/>
      <c r="I641" s="13"/>
      <c r="J641" s="13"/>
      <c r="K641" s="13"/>
      <c r="L641" s="337"/>
      <c r="M641" s="338"/>
      <c r="N641" s="338"/>
      <c r="O641" s="33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</row>
    <row r="642" ht="18.0" customHeight="1">
      <c r="A642" s="369" t="s">
        <v>369</v>
      </c>
      <c r="B642" s="106"/>
      <c r="C642" s="13"/>
      <c r="D642" s="11"/>
      <c r="E642" s="13"/>
      <c r="F642" s="10"/>
      <c r="G642" s="13"/>
      <c r="H642" s="10"/>
      <c r="I642" s="13"/>
      <c r="J642" s="13"/>
      <c r="K642" s="13"/>
      <c r="L642" s="337"/>
      <c r="M642" s="338"/>
      <c r="N642" s="338"/>
      <c r="O642" s="33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</row>
    <row r="643" ht="18.0" customHeight="1">
      <c r="A643" s="369" t="s">
        <v>369</v>
      </c>
      <c r="B643" s="106"/>
      <c r="C643" s="13"/>
      <c r="D643" s="11"/>
      <c r="E643" s="13"/>
      <c r="F643" s="10"/>
      <c r="G643" s="13"/>
      <c r="H643" s="10"/>
      <c r="I643" s="13"/>
      <c r="J643" s="13"/>
      <c r="K643" s="13"/>
      <c r="L643" s="337"/>
      <c r="M643" s="338"/>
      <c r="N643" s="338"/>
      <c r="O643" s="33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</row>
    <row r="644" ht="18.0" customHeight="1">
      <c r="A644" s="369" t="s">
        <v>369</v>
      </c>
      <c r="B644" s="106"/>
      <c r="C644" s="13"/>
      <c r="D644" s="11"/>
      <c r="E644" s="13"/>
      <c r="F644" s="10"/>
      <c r="G644" s="13"/>
      <c r="H644" s="10"/>
      <c r="I644" s="13"/>
      <c r="J644" s="13"/>
      <c r="K644" s="13"/>
      <c r="L644" s="337"/>
      <c r="M644" s="338"/>
      <c r="N644" s="338"/>
      <c r="O644" s="33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</row>
    <row r="645" ht="18.0" customHeight="1">
      <c r="A645" s="369" t="s">
        <v>369</v>
      </c>
      <c r="B645" s="106"/>
      <c r="C645" s="13"/>
      <c r="D645" s="11"/>
      <c r="E645" s="13"/>
      <c r="F645" s="10"/>
      <c r="G645" s="13"/>
      <c r="H645" s="10"/>
      <c r="I645" s="13"/>
      <c r="J645" s="13"/>
      <c r="K645" s="13"/>
      <c r="L645" s="337"/>
      <c r="M645" s="338"/>
      <c r="N645" s="338"/>
      <c r="O645" s="33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</row>
    <row r="646" ht="18.0" customHeight="1">
      <c r="A646" s="369" t="s">
        <v>369</v>
      </c>
      <c r="B646" s="106"/>
      <c r="C646" s="13"/>
      <c r="D646" s="11"/>
      <c r="E646" s="13"/>
      <c r="F646" s="10"/>
      <c r="G646" s="13"/>
      <c r="H646" s="10"/>
      <c r="I646" s="13"/>
      <c r="J646" s="13"/>
      <c r="K646" s="13"/>
      <c r="L646" s="337"/>
      <c r="M646" s="338"/>
      <c r="N646" s="338"/>
      <c r="O646" s="33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</row>
    <row r="647" ht="18.0" customHeight="1">
      <c r="A647" s="369" t="s">
        <v>369</v>
      </c>
      <c r="B647" s="373"/>
      <c r="C647" s="287"/>
      <c r="D647" s="285"/>
      <c r="E647" s="287"/>
      <c r="F647" s="7"/>
      <c r="G647" s="287"/>
      <c r="H647" s="7"/>
      <c r="I647" s="287"/>
      <c r="J647" s="287"/>
      <c r="K647" s="28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</row>
    <row r="648" ht="18.0" customHeight="1">
      <c r="A648" s="369" t="s">
        <v>369</v>
      </c>
      <c r="B648" s="373"/>
      <c r="C648" s="287"/>
      <c r="D648" s="285"/>
      <c r="E648" s="287"/>
      <c r="F648" s="7"/>
      <c r="G648" s="287"/>
      <c r="H648" s="7"/>
      <c r="I648" s="287"/>
      <c r="J648" s="287"/>
      <c r="K648" s="28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</row>
    <row r="649" ht="18.0" customHeight="1">
      <c r="A649" s="369" t="s">
        <v>369</v>
      </c>
      <c r="B649" s="373"/>
      <c r="C649" s="287"/>
      <c r="D649" s="285"/>
      <c r="E649" s="287"/>
      <c r="F649" s="7"/>
      <c r="G649" s="287"/>
      <c r="H649" s="7"/>
      <c r="I649" s="287"/>
      <c r="J649" s="287"/>
      <c r="K649" s="28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</row>
    <row r="650" ht="18.0" customHeight="1">
      <c r="A650" s="369" t="s">
        <v>369</v>
      </c>
      <c r="B650" s="373"/>
      <c r="C650" s="287"/>
      <c r="D650" s="285"/>
      <c r="E650" s="287"/>
      <c r="F650" s="7"/>
      <c r="G650" s="287"/>
      <c r="H650" s="7"/>
      <c r="I650" s="287"/>
      <c r="J650" s="287"/>
      <c r="K650" s="28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</row>
    <row r="651" ht="18.0" customHeight="1">
      <c r="A651" s="369" t="s">
        <v>369</v>
      </c>
      <c r="B651" s="373"/>
      <c r="C651" s="287"/>
      <c r="D651" s="285"/>
      <c r="E651" s="287"/>
      <c r="F651" s="7"/>
      <c r="G651" s="287"/>
      <c r="H651" s="7"/>
      <c r="I651" s="287"/>
      <c r="J651" s="287"/>
      <c r="K651" s="28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</row>
    <row r="652" ht="18.0" customHeight="1">
      <c r="A652" s="369" t="s">
        <v>369</v>
      </c>
      <c r="B652" s="373"/>
      <c r="C652" s="287"/>
      <c r="D652" s="285"/>
      <c r="E652" s="287"/>
      <c r="F652" s="7"/>
      <c r="G652" s="287"/>
      <c r="H652" s="7"/>
      <c r="I652" s="287"/>
      <c r="J652" s="287"/>
      <c r="K652" s="28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</row>
    <row r="653" ht="18.0" customHeight="1">
      <c r="A653" s="369" t="s">
        <v>369</v>
      </c>
      <c r="B653" s="373"/>
      <c r="C653" s="287"/>
      <c r="D653" s="285"/>
      <c r="E653" s="287"/>
      <c r="F653" s="7"/>
      <c r="G653" s="287"/>
      <c r="H653" s="7"/>
      <c r="I653" s="287"/>
      <c r="J653" s="287"/>
      <c r="K653" s="28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</row>
    <row r="654" ht="18.0" customHeight="1">
      <c r="A654" s="369" t="s">
        <v>369</v>
      </c>
      <c r="B654" s="373"/>
      <c r="C654" s="287"/>
      <c r="D654" s="285"/>
      <c r="E654" s="287"/>
      <c r="F654" s="7"/>
      <c r="G654" s="287"/>
      <c r="H654" s="7"/>
      <c r="I654" s="287"/>
      <c r="J654" s="287"/>
      <c r="K654" s="28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</row>
    <row r="655" ht="18.0" customHeight="1">
      <c r="A655" s="369" t="s">
        <v>369</v>
      </c>
      <c r="B655" s="373"/>
      <c r="C655" s="287"/>
      <c r="D655" s="285"/>
      <c r="E655" s="287"/>
      <c r="F655" s="7"/>
      <c r="G655" s="287"/>
      <c r="H655" s="7"/>
      <c r="I655" s="287"/>
      <c r="J655" s="287"/>
      <c r="K655" s="28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</row>
    <row r="656" ht="18.0" customHeight="1">
      <c r="A656" s="369" t="s">
        <v>369</v>
      </c>
      <c r="B656" s="373"/>
      <c r="C656" s="287"/>
      <c r="D656" s="285"/>
      <c r="E656" s="287"/>
      <c r="F656" s="7"/>
      <c r="G656" s="287"/>
      <c r="H656" s="7"/>
      <c r="I656" s="287"/>
      <c r="J656" s="287"/>
      <c r="K656" s="28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</row>
    <row r="657" ht="18.0" customHeight="1">
      <c r="A657" s="369" t="s">
        <v>369</v>
      </c>
      <c r="B657" s="373"/>
      <c r="C657" s="287"/>
      <c r="D657" s="285"/>
      <c r="E657" s="287"/>
      <c r="F657" s="7"/>
      <c r="G657" s="287"/>
      <c r="H657" s="7"/>
      <c r="I657" s="287"/>
      <c r="J657" s="287"/>
      <c r="K657" s="28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</row>
    <row r="658" ht="18.0" customHeight="1">
      <c r="A658" s="369" t="s">
        <v>369</v>
      </c>
      <c r="B658" s="373"/>
      <c r="C658" s="287"/>
      <c r="D658" s="285"/>
      <c r="E658" s="287"/>
      <c r="F658" s="7"/>
      <c r="G658" s="287"/>
      <c r="H658" s="7"/>
      <c r="I658" s="287"/>
      <c r="J658" s="287"/>
      <c r="K658" s="28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</row>
    <row r="659" ht="18.0" customHeight="1">
      <c r="A659" s="369" t="s">
        <v>369</v>
      </c>
      <c r="B659" s="373"/>
      <c r="C659" s="287"/>
      <c r="D659" s="285"/>
      <c r="E659" s="287"/>
      <c r="F659" s="7"/>
      <c r="G659" s="287"/>
      <c r="H659" s="7"/>
      <c r="I659" s="287"/>
      <c r="J659" s="287"/>
      <c r="K659" s="28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</row>
    <row r="660" ht="18.0" customHeight="1">
      <c r="A660" s="369" t="s">
        <v>369</v>
      </c>
      <c r="B660" s="373"/>
      <c r="C660" s="287"/>
      <c r="D660" s="285"/>
      <c r="E660" s="287"/>
      <c r="F660" s="7"/>
      <c r="G660" s="287"/>
      <c r="H660" s="7"/>
      <c r="I660" s="287"/>
      <c r="J660" s="287"/>
      <c r="K660" s="28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</row>
    <row r="661" ht="18.0" customHeight="1">
      <c r="A661" s="369" t="s">
        <v>369</v>
      </c>
      <c r="B661" s="373"/>
      <c r="C661" s="287"/>
      <c r="D661" s="285"/>
      <c r="E661" s="287"/>
      <c r="F661" s="7"/>
      <c r="G661" s="287"/>
      <c r="H661" s="7"/>
      <c r="I661" s="287"/>
      <c r="J661" s="287"/>
      <c r="K661" s="28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</row>
    <row r="662" ht="18.0" customHeight="1">
      <c r="A662" s="369" t="s">
        <v>369</v>
      </c>
      <c r="B662" s="373"/>
      <c r="C662" s="287"/>
      <c r="D662" s="285"/>
      <c r="E662" s="287"/>
      <c r="F662" s="7"/>
      <c r="G662" s="287"/>
      <c r="H662" s="7"/>
      <c r="I662" s="287"/>
      <c r="J662" s="287"/>
      <c r="K662" s="28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</row>
    <row r="663" ht="18.0" customHeight="1">
      <c r="A663" s="369" t="s">
        <v>369</v>
      </c>
      <c r="B663" s="373"/>
      <c r="C663" s="287"/>
      <c r="D663" s="285"/>
      <c r="E663" s="287"/>
      <c r="F663" s="7"/>
      <c r="G663" s="287"/>
      <c r="H663" s="7"/>
      <c r="I663" s="287"/>
      <c r="J663" s="287"/>
      <c r="K663" s="28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</row>
    <row r="664" ht="18.0" customHeight="1">
      <c r="A664" s="369" t="s">
        <v>369</v>
      </c>
      <c r="B664" s="373"/>
      <c r="C664" s="287"/>
      <c r="D664" s="285"/>
      <c r="E664" s="287"/>
      <c r="F664" s="7"/>
      <c r="G664" s="287"/>
      <c r="H664" s="7"/>
      <c r="I664" s="287"/>
      <c r="J664" s="287"/>
      <c r="K664" s="28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</row>
    <row r="665" ht="18.0" customHeight="1">
      <c r="A665" s="369" t="s">
        <v>369</v>
      </c>
      <c r="B665" s="373"/>
      <c r="C665" s="287"/>
      <c r="D665" s="285"/>
      <c r="E665" s="287"/>
      <c r="F665" s="7"/>
      <c r="G665" s="287"/>
      <c r="H665" s="7"/>
      <c r="I665" s="287"/>
      <c r="J665" s="287"/>
      <c r="K665" s="28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</row>
    <row r="666" ht="18.0" customHeight="1">
      <c r="A666" s="369" t="s">
        <v>369</v>
      </c>
      <c r="B666" s="373"/>
      <c r="C666" s="287"/>
      <c r="D666" s="285"/>
      <c r="E666" s="287"/>
      <c r="F666" s="7"/>
      <c r="G666" s="287"/>
      <c r="H666" s="7"/>
      <c r="I666" s="287"/>
      <c r="J666" s="287"/>
      <c r="K666" s="28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</row>
    <row r="667" ht="18.0" customHeight="1">
      <c r="A667" s="369" t="s">
        <v>369</v>
      </c>
      <c r="B667" s="373"/>
      <c r="C667" s="287"/>
      <c r="D667" s="285"/>
      <c r="E667" s="287"/>
      <c r="F667" s="7"/>
      <c r="G667" s="287"/>
      <c r="H667" s="7"/>
      <c r="I667" s="287"/>
      <c r="J667" s="287"/>
      <c r="K667" s="28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</row>
    <row r="668" ht="18.0" customHeight="1">
      <c r="A668" s="369" t="s">
        <v>369</v>
      </c>
      <c r="B668" s="373"/>
      <c r="C668" s="287"/>
      <c r="D668" s="285"/>
      <c r="E668" s="287"/>
      <c r="F668" s="7"/>
      <c r="G668" s="287"/>
      <c r="H668" s="7"/>
      <c r="I668" s="287"/>
      <c r="J668" s="287"/>
      <c r="K668" s="28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</row>
    <row r="669" ht="18.0" customHeight="1">
      <c r="A669" s="369" t="s">
        <v>369</v>
      </c>
      <c r="B669" s="373"/>
      <c r="C669" s="287"/>
      <c r="D669" s="285"/>
      <c r="E669" s="287"/>
      <c r="F669" s="7"/>
      <c r="G669" s="287"/>
      <c r="H669" s="7"/>
      <c r="I669" s="287"/>
      <c r="J669" s="287"/>
      <c r="K669" s="28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</row>
    <row r="670" ht="18.0" customHeight="1">
      <c r="A670" s="369" t="s">
        <v>369</v>
      </c>
      <c r="B670" s="373"/>
      <c r="C670" s="287"/>
      <c r="D670" s="285"/>
      <c r="E670" s="287"/>
      <c r="F670" s="7"/>
      <c r="G670" s="287"/>
      <c r="H670" s="7"/>
      <c r="I670" s="287"/>
      <c r="J670" s="287"/>
      <c r="K670" s="28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</row>
    <row r="671" ht="18.0" customHeight="1">
      <c r="A671" s="369" t="s">
        <v>369</v>
      </c>
      <c r="B671" s="373"/>
      <c r="C671" s="287"/>
      <c r="D671" s="285"/>
      <c r="E671" s="287"/>
      <c r="F671" s="7"/>
      <c r="G671" s="287"/>
      <c r="H671" s="7"/>
      <c r="I671" s="287"/>
      <c r="J671" s="287"/>
      <c r="K671" s="28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</row>
    <row r="672" ht="18.0" customHeight="1">
      <c r="A672" s="369" t="s">
        <v>369</v>
      </c>
      <c r="B672" s="373"/>
      <c r="C672" s="287"/>
      <c r="D672" s="285"/>
      <c r="E672" s="287"/>
      <c r="F672" s="7"/>
      <c r="G672" s="287"/>
      <c r="H672" s="7"/>
      <c r="I672" s="287"/>
      <c r="J672" s="287"/>
      <c r="K672" s="28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</row>
    <row r="673" ht="18.0" customHeight="1">
      <c r="A673" s="369" t="s">
        <v>369</v>
      </c>
      <c r="B673" s="373"/>
      <c r="C673" s="287"/>
      <c r="D673" s="285"/>
      <c r="E673" s="287"/>
      <c r="F673" s="7"/>
      <c r="G673" s="287"/>
      <c r="H673" s="7"/>
      <c r="I673" s="287"/>
      <c r="J673" s="287"/>
      <c r="K673" s="28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</row>
    <row r="674" ht="18.0" customHeight="1">
      <c r="A674" s="369" t="s">
        <v>369</v>
      </c>
      <c r="B674" s="373"/>
      <c r="C674" s="287"/>
      <c r="D674" s="285"/>
      <c r="E674" s="287"/>
      <c r="F674" s="7"/>
      <c r="G674" s="287"/>
      <c r="H674" s="7"/>
      <c r="I674" s="287"/>
      <c r="J674" s="287"/>
      <c r="K674" s="28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</row>
    <row r="675" ht="18.0" customHeight="1">
      <c r="A675" s="369" t="s">
        <v>369</v>
      </c>
      <c r="B675" s="373"/>
      <c r="C675" s="287"/>
      <c r="D675" s="285"/>
      <c r="E675" s="287"/>
      <c r="F675" s="7"/>
      <c r="G675" s="287"/>
      <c r="H675" s="7"/>
      <c r="I675" s="287"/>
      <c r="J675" s="287"/>
      <c r="K675" s="28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</row>
    <row r="676" ht="18.0" customHeight="1">
      <c r="A676" s="369" t="s">
        <v>369</v>
      </c>
      <c r="B676" s="373"/>
      <c r="C676" s="287"/>
      <c r="D676" s="285"/>
      <c r="E676" s="287"/>
      <c r="F676" s="7"/>
      <c r="G676" s="287"/>
      <c r="H676" s="7"/>
      <c r="I676" s="287"/>
      <c r="J676" s="287"/>
      <c r="K676" s="28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</row>
    <row r="677" ht="18.0" customHeight="1">
      <c r="A677" s="369" t="s">
        <v>369</v>
      </c>
      <c r="B677" s="373"/>
      <c r="C677" s="287"/>
      <c r="D677" s="285"/>
      <c r="E677" s="287"/>
      <c r="F677" s="7"/>
      <c r="G677" s="287"/>
      <c r="H677" s="7"/>
      <c r="I677" s="287"/>
      <c r="J677" s="287"/>
      <c r="K677" s="28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</row>
    <row r="678" ht="18.0" customHeight="1">
      <c r="A678" s="369" t="s">
        <v>369</v>
      </c>
      <c r="B678" s="373"/>
      <c r="C678" s="287"/>
      <c r="D678" s="285"/>
      <c r="E678" s="287"/>
      <c r="F678" s="7"/>
      <c r="G678" s="287"/>
      <c r="H678" s="7"/>
      <c r="I678" s="287"/>
      <c r="J678" s="287"/>
      <c r="K678" s="28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</row>
    <row r="679" ht="18.0" customHeight="1">
      <c r="A679" s="369" t="s">
        <v>369</v>
      </c>
      <c r="B679" s="373"/>
      <c r="C679" s="287"/>
      <c r="D679" s="285"/>
      <c r="E679" s="287"/>
      <c r="F679" s="7"/>
      <c r="G679" s="287"/>
      <c r="H679" s="7"/>
      <c r="I679" s="287"/>
      <c r="J679" s="287"/>
      <c r="K679" s="28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</row>
    <row r="680" ht="18.0" customHeight="1">
      <c r="A680" s="369" t="s">
        <v>369</v>
      </c>
      <c r="B680" s="373"/>
      <c r="C680" s="287"/>
      <c r="D680" s="285"/>
      <c r="E680" s="287"/>
      <c r="F680" s="7"/>
      <c r="G680" s="287"/>
      <c r="H680" s="7"/>
      <c r="I680" s="287"/>
      <c r="J680" s="287"/>
      <c r="K680" s="28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</row>
    <row r="681" ht="18.0" customHeight="1">
      <c r="A681" s="369" t="s">
        <v>369</v>
      </c>
      <c r="B681" s="373"/>
      <c r="C681" s="287"/>
      <c r="D681" s="285"/>
      <c r="E681" s="287"/>
      <c r="F681" s="7"/>
      <c r="G681" s="287"/>
      <c r="H681" s="7"/>
      <c r="I681" s="287"/>
      <c r="J681" s="287"/>
      <c r="K681" s="28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</row>
    <row r="682" ht="18.0" customHeight="1">
      <c r="A682" s="287"/>
      <c r="B682" s="373"/>
      <c r="C682" s="287"/>
      <c r="D682" s="285"/>
      <c r="E682" s="287"/>
      <c r="F682" s="7"/>
      <c r="G682" s="287"/>
      <c r="H682" s="7"/>
      <c r="I682" s="287"/>
      <c r="J682" s="287"/>
      <c r="K682" s="28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</row>
    <row r="683" ht="18.0" customHeight="1">
      <c r="A683" s="287"/>
      <c r="B683" s="373"/>
      <c r="C683" s="287"/>
      <c r="D683" s="285"/>
      <c r="E683" s="287"/>
      <c r="F683" s="7"/>
      <c r="G683" s="287"/>
      <c r="H683" s="7"/>
      <c r="I683" s="287"/>
      <c r="J683" s="287"/>
      <c r="K683" s="28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</row>
    <row r="684" ht="18.0" customHeight="1">
      <c r="A684" s="287"/>
      <c r="B684" s="373"/>
      <c r="C684" s="287"/>
      <c r="D684" s="285"/>
      <c r="E684" s="287"/>
      <c r="F684" s="7"/>
      <c r="G684" s="287"/>
      <c r="H684" s="7"/>
      <c r="I684" s="287"/>
      <c r="J684" s="287"/>
      <c r="K684" s="28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</row>
    <row r="685" ht="18.0" customHeight="1">
      <c r="A685" s="287"/>
      <c r="B685" s="373"/>
      <c r="C685" s="287"/>
      <c r="D685" s="285"/>
      <c r="E685" s="287"/>
      <c r="F685" s="7"/>
      <c r="G685" s="287"/>
      <c r="H685" s="7"/>
      <c r="I685" s="287"/>
      <c r="J685" s="287"/>
      <c r="K685" s="28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</row>
    <row r="686" ht="18.0" customHeight="1">
      <c r="A686" s="287"/>
      <c r="B686" s="373"/>
      <c r="C686" s="287"/>
      <c r="D686" s="285"/>
      <c r="E686" s="287"/>
      <c r="F686" s="7"/>
      <c r="G686" s="287"/>
      <c r="H686" s="7"/>
      <c r="I686" s="287"/>
      <c r="J686" s="287"/>
      <c r="K686" s="28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</row>
    <row r="687" ht="18.0" customHeight="1">
      <c r="A687" s="287"/>
      <c r="B687" s="373"/>
      <c r="C687" s="287"/>
      <c r="D687" s="285"/>
      <c r="E687" s="287"/>
      <c r="F687" s="7"/>
      <c r="G687" s="287"/>
      <c r="H687" s="7"/>
      <c r="I687" s="287"/>
      <c r="J687" s="287"/>
      <c r="K687" s="28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</row>
    <row r="688" ht="18.0" customHeight="1">
      <c r="A688" s="287"/>
      <c r="B688" s="373"/>
      <c r="C688" s="287"/>
      <c r="D688" s="285"/>
      <c r="E688" s="287"/>
      <c r="F688" s="7"/>
      <c r="G688" s="287"/>
      <c r="H688" s="7"/>
      <c r="I688" s="287"/>
      <c r="J688" s="287"/>
      <c r="K688" s="28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</row>
    <row r="689" ht="18.0" customHeight="1">
      <c r="A689" s="287"/>
      <c r="B689" s="373"/>
      <c r="C689" s="287"/>
      <c r="D689" s="285"/>
      <c r="E689" s="287"/>
      <c r="F689" s="7"/>
      <c r="G689" s="287"/>
      <c r="H689" s="7"/>
      <c r="I689" s="287"/>
      <c r="J689" s="287"/>
      <c r="K689" s="28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</row>
    <row r="690" ht="18.0" customHeight="1">
      <c r="A690" s="287"/>
      <c r="B690" s="373"/>
      <c r="C690" s="287"/>
      <c r="D690" s="285"/>
      <c r="E690" s="287"/>
      <c r="F690" s="7"/>
      <c r="G690" s="287"/>
      <c r="H690" s="7"/>
      <c r="I690" s="287"/>
      <c r="J690" s="287"/>
      <c r="K690" s="28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</row>
    <row r="691" ht="18.0" customHeight="1">
      <c r="A691" s="287"/>
      <c r="B691" s="373"/>
      <c r="C691" s="287"/>
      <c r="D691" s="285"/>
      <c r="E691" s="287"/>
      <c r="F691" s="7"/>
      <c r="G691" s="287"/>
      <c r="H691" s="7"/>
      <c r="I691" s="287"/>
      <c r="J691" s="287"/>
      <c r="K691" s="28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</row>
    <row r="692" ht="18.0" customHeight="1">
      <c r="A692" s="287"/>
      <c r="B692" s="373"/>
      <c r="C692" s="287"/>
      <c r="D692" s="285"/>
      <c r="E692" s="287"/>
      <c r="F692" s="7"/>
      <c r="G692" s="287"/>
      <c r="H692" s="7"/>
      <c r="I692" s="287"/>
      <c r="J692" s="287"/>
      <c r="K692" s="28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</row>
    <row r="693" ht="18.0" customHeight="1">
      <c r="A693" s="287"/>
      <c r="B693" s="373"/>
      <c r="C693" s="287"/>
      <c r="D693" s="285"/>
      <c r="E693" s="287"/>
      <c r="F693" s="7"/>
      <c r="G693" s="287"/>
      <c r="H693" s="7"/>
      <c r="I693" s="287"/>
      <c r="J693" s="287"/>
      <c r="K693" s="28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</row>
    <row r="694" ht="18.0" customHeight="1">
      <c r="A694" s="287"/>
      <c r="B694" s="373"/>
      <c r="C694" s="287"/>
      <c r="D694" s="285"/>
      <c r="E694" s="287"/>
      <c r="F694" s="7"/>
      <c r="G694" s="287"/>
      <c r="H694" s="7"/>
      <c r="I694" s="287"/>
      <c r="J694" s="287"/>
      <c r="K694" s="28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</row>
    <row r="695" ht="18.0" customHeight="1">
      <c r="A695" s="287"/>
      <c r="B695" s="373"/>
      <c r="C695" s="287"/>
      <c r="D695" s="285"/>
      <c r="E695" s="287"/>
      <c r="F695" s="7"/>
      <c r="G695" s="287"/>
      <c r="H695" s="7"/>
      <c r="I695" s="287"/>
      <c r="J695" s="287"/>
      <c r="K695" s="28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</row>
    <row r="696" ht="18.0" customHeight="1">
      <c r="A696" s="287"/>
      <c r="B696" s="373"/>
      <c r="C696" s="287"/>
      <c r="D696" s="285"/>
      <c r="E696" s="287"/>
      <c r="F696" s="7"/>
      <c r="G696" s="287"/>
      <c r="H696" s="7"/>
      <c r="I696" s="287"/>
      <c r="J696" s="287"/>
      <c r="K696" s="28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</row>
    <row r="697" ht="18.0" customHeight="1">
      <c r="A697" s="287"/>
      <c r="B697" s="373"/>
      <c r="C697" s="287"/>
      <c r="D697" s="285"/>
      <c r="E697" s="287"/>
      <c r="F697" s="7"/>
      <c r="G697" s="287"/>
      <c r="H697" s="7"/>
      <c r="I697" s="287"/>
      <c r="J697" s="287"/>
      <c r="K697" s="28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</row>
    <row r="698" ht="18.0" customHeight="1">
      <c r="A698" s="287"/>
      <c r="B698" s="373"/>
      <c r="C698" s="287"/>
      <c r="D698" s="285"/>
      <c r="E698" s="287"/>
      <c r="F698" s="7"/>
      <c r="G698" s="287"/>
      <c r="H698" s="7"/>
      <c r="I698" s="287"/>
      <c r="J698" s="287"/>
      <c r="K698" s="28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</row>
    <row r="699" ht="18.0" customHeight="1">
      <c r="A699" s="287"/>
      <c r="B699" s="373"/>
      <c r="C699" s="287"/>
      <c r="D699" s="285"/>
      <c r="E699" s="287"/>
      <c r="F699" s="7"/>
      <c r="G699" s="287"/>
      <c r="H699" s="7"/>
      <c r="I699" s="287"/>
      <c r="J699" s="287"/>
      <c r="K699" s="28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</row>
    <row r="700" ht="18.0" customHeight="1">
      <c r="A700" s="287"/>
      <c r="B700" s="373"/>
      <c r="C700" s="287"/>
      <c r="D700" s="285"/>
      <c r="E700" s="287"/>
      <c r="F700" s="7"/>
      <c r="G700" s="287"/>
      <c r="H700" s="7"/>
      <c r="I700" s="287"/>
      <c r="J700" s="287"/>
      <c r="K700" s="28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</row>
    <row r="701" ht="18.0" customHeight="1">
      <c r="A701" s="287"/>
      <c r="B701" s="373"/>
      <c r="C701" s="287"/>
      <c r="D701" s="285"/>
      <c r="E701" s="287"/>
      <c r="F701" s="7"/>
      <c r="G701" s="287"/>
      <c r="H701" s="7"/>
      <c r="I701" s="287"/>
      <c r="J701" s="287"/>
      <c r="K701" s="28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</row>
    <row r="702" ht="18.0" customHeight="1">
      <c r="A702" s="287"/>
      <c r="B702" s="373"/>
      <c r="C702" s="287"/>
      <c r="D702" s="285"/>
      <c r="E702" s="287"/>
      <c r="F702" s="7"/>
      <c r="G702" s="287"/>
      <c r="H702" s="7"/>
      <c r="I702" s="287"/>
      <c r="J702" s="287"/>
      <c r="K702" s="28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</row>
    <row r="703" ht="18.0" customHeight="1">
      <c r="A703" s="287"/>
      <c r="B703" s="373"/>
      <c r="C703" s="287"/>
      <c r="D703" s="285"/>
      <c r="E703" s="287"/>
      <c r="F703" s="7"/>
      <c r="G703" s="287"/>
      <c r="H703" s="7"/>
      <c r="I703" s="287"/>
      <c r="J703" s="287"/>
      <c r="K703" s="28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</row>
    <row r="704" ht="18.0" customHeight="1">
      <c r="A704" s="287"/>
      <c r="B704" s="373"/>
      <c r="C704" s="287"/>
      <c r="D704" s="285"/>
      <c r="E704" s="287"/>
      <c r="F704" s="7"/>
      <c r="G704" s="287"/>
      <c r="H704" s="7"/>
      <c r="I704" s="287"/>
      <c r="J704" s="287"/>
      <c r="K704" s="28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</row>
    <row r="705" ht="18.0" customHeight="1">
      <c r="A705" s="287"/>
      <c r="B705" s="373"/>
      <c r="C705" s="287"/>
      <c r="D705" s="285"/>
      <c r="E705" s="287"/>
      <c r="F705" s="7"/>
      <c r="G705" s="287"/>
      <c r="H705" s="7"/>
      <c r="I705" s="287"/>
      <c r="J705" s="287"/>
      <c r="K705" s="28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</row>
    <row r="706" ht="18.0" customHeight="1">
      <c r="A706" s="287"/>
      <c r="B706" s="373"/>
      <c r="C706" s="287"/>
      <c r="D706" s="285"/>
      <c r="E706" s="287"/>
      <c r="F706" s="7"/>
      <c r="G706" s="287"/>
      <c r="H706" s="7"/>
      <c r="I706" s="287"/>
      <c r="J706" s="287"/>
      <c r="K706" s="28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</row>
    <row r="707" ht="18.0" customHeight="1">
      <c r="A707" s="287"/>
      <c r="B707" s="373"/>
      <c r="C707" s="287"/>
      <c r="D707" s="285"/>
      <c r="E707" s="287"/>
      <c r="F707" s="7"/>
      <c r="G707" s="287"/>
      <c r="H707" s="7"/>
      <c r="I707" s="287"/>
      <c r="J707" s="287"/>
      <c r="K707" s="28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</row>
    <row r="708" ht="18.0" customHeight="1">
      <c r="A708" s="287"/>
      <c r="B708" s="373"/>
      <c r="C708" s="287"/>
      <c r="D708" s="285"/>
      <c r="E708" s="287"/>
      <c r="F708" s="7"/>
      <c r="G708" s="287"/>
      <c r="H708" s="7"/>
      <c r="I708" s="287"/>
      <c r="J708" s="287"/>
      <c r="K708" s="28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</row>
    <row r="709" ht="18.0" customHeight="1">
      <c r="A709" s="287"/>
      <c r="B709" s="373"/>
      <c r="C709" s="287"/>
      <c r="D709" s="285"/>
      <c r="E709" s="287"/>
      <c r="F709" s="7"/>
      <c r="G709" s="287"/>
      <c r="H709" s="7"/>
      <c r="I709" s="287"/>
      <c r="J709" s="287"/>
      <c r="K709" s="28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</row>
    <row r="710" ht="18.0" customHeight="1">
      <c r="A710" s="287"/>
      <c r="B710" s="373"/>
      <c r="C710" s="287"/>
      <c r="D710" s="285"/>
      <c r="E710" s="287"/>
      <c r="F710" s="7"/>
      <c r="G710" s="287"/>
      <c r="H710" s="7"/>
      <c r="I710" s="287"/>
      <c r="J710" s="287"/>
      <c r="K710" s="28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</row>
    <row r="711" ht="18.0" customHeight="1">
      <c r="A711" s="287"/>
      <c r="B711" s="373"/>
      <c r="C711" s="287"/>
      <c r="D711" s="285"/>
      <c r="E711" s="287"/>
      <c r="F711" s="7"/>
      <c r="G711" s="287"/>
      <c r="H711" s="7"/>
      <c r="I711" s="287"/>
      <c r="J711" s="287"/>
      <c r="K711" s="28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</row>
    <row r="712" ht="18.0" customHeight="1">
      <c r="A712" s="287"/>
      <c r="B712" s="373"/>
      <c r="C712" s="287"/>
      <c r="D712" s="285"/>
      <c r="E712" s="287"/>
      <c r="F712" s="7"/>
      <c r="G712" s="287"/>
      <c r="H712" s="7"/>
      <c r="I712" s="287"/>
      <c r="J712" s="287"/>
      <c r="K712" s="28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</row>
    <row r="713" ht="18.0" customHeight="1">
      <c r="A713" s="287"/>
      <c r="B713" s="373"/>
      <c r="C713" s="287"/>
      <c r="D713" s="285"/>
      <c r="E713" s="287"/>
      <c r="F713" s="7"/>
      <c r="G713" s="287"/>
      <c r="H713" s="7"/>
      <c r="I713" s="287"/>
      <c r="J713" s="287"/>
      <c r="K713" s="28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</row>
    <row r="714" ht="18.0" customHeight="1">
      <c r="A714" s="287"/>
      <c r="B714" s="373"/>
      <c r="C714" s="287"/>
      <c r="D714" s="285"/>
      <c r="E714" s="287"/>
      <c r="F714" s="7"/>
      <c r="G714" s="287"/>
      <c r="H714" s="7"/>
      <c r="I714" s="287"/>
      <c r="J714" s="287"/>
      <c r="K714" s="28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</row>
    <row r="715" ht="18.0" customHeight="1">
      <c r="A715" s="287"/>
      <c r="B715" s="373"/>
      <c r="C715" s="287"/>
      <c r="D715" s="285"/>
      <c r="E715" s="287"/>
      <c r="F715" s="7"/>
      <c r="G715" s="287"/>
      <c r="H715" s="7"/>
      <c r="I715" s="287"/>
      <c r="J715" s="287"/>
      <c r="K715" s="28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</row>
    <row r="716" ht="18.0" customHeight="1">
      <c r="A716" s="287"/>
      <c r="B716" s="373"/>
      <c r="C716" s="287"/>
      <c r="D716" s="285"/>
      <c r="E716" s="287"/>
      <c r="F716" s="7"/>
      <c r="G716" s="287"/>
      <c r="H716" s="7"/>
      <c r="I716" s="287"/>
      <c r="J716" s="287"/>
      <c r="K716" s="28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</row>
    <row r="717" ht="18.0" customHeight="1">
      <c r="A717" s="287"/>
      <c r="B717" s="373"/>
      <c r="C717" s="287"/>
      <c r="D717" s="285"/>
      <c r="E717" s="287"/>
      <c r="F717" s="7"/>
      <c r="G717" s="287"/>
      <c r="H717" s="7"/>
      <c r="I717" s="287"/>
      <c r="J717" s="287"/>
      <c r="K717" s="28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</row>
    <row r="718" ht="18.0" customHeight="1">
      <c r="A718" s="287"/>
      <c r="B718" s="373"/>
      <c r="C718" s="287"/>
      <c r="D718" s="285"/>
      <c r="E718" s="287"/>
      <c r="F718" s="7"/>
      <c r="G718" s="287"/>
      <c r="H718" s="7"/>
      <c r="I718" s="287"/>
      <c r="J718" s="287"/>
      <c r="K718" s="28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</row>
    <row r="719" ht="18.0" customHeight="1">
      <c r="A719" s="287"/>
      <c r="B719" s="373"/>
      <c r="C719" s="287"/>
      <c r="D719" s="285"/>
      <c r="E719" s="287"/>
      <c r="F719" s="7"/>
      <c r="G719" s="287"/>
      <c r="H719" s="7"/>
      <c r="I719" s="287"/>
      <c r="J719" s="287"/>
      <c r="K719" s="28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</row>
    <row r="720" ht="18.0" customHeight="1">
      <c r="A720" s="287"/>
      <c r="B720" s="373"/>
      <c r="C720" s="287"/>
      <c r="D720" s="285"/>
      <c r="E720" s="287"/>
      <c r="F720" s="7"/>
      <c r="G720" s="287"/>
      <c r="H720" s="7"/>
      <c r="I720" s="287"/>
      <c r="J720" s="287"/>
      <c r="K720" s="28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</row>
    <row r="721" ht="18.0" customHeight="1">
      <c r="A721" s="287"/>
      <c r="B721" s="373"/>
      <c r="C721" s="287"/>
      <c r="D721" s="285"/>
      <c r="E721" s="287"/>
      <c r="F721" s="7"/>
      <c r="G721" s="287"/>
      <c r="H721" s="7"/>
      <c r="I721" s="287"/>
      <c r="J721" s="287"/>
      <c r="K721" s="28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</row>
    <row r="722" ht="18.0" customHeight="1">
      <c r="A722" s="287"/>
      <c r="B722" s="373"/>
      <c r="C722" s="287"/>
      <c r="D722" s="285"/>
      <c r="E722" s="287"/>
      <c r="F722" s="7"/>
      <c r="G722" s="287"/>
      <c r="H722" s="7"/>
      <c r="I722" s="287"/>
      <c r="J722" s="287"/>
      <c r="K722" s="28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</row>
    <row r="723" ht="18.0" customHeight="1">
      <c r="A723" s="287"/>
      <c r="B723" s="373"/>
      <c r="C723" s="287"/>
      <c r="D723" s="285"/>
      <c r="E723" s="287"/>
      <c r="F723" s="7"/>
      <c r="G723" s="287"/>
      <c r="H723" s="7"/>
      <c r="I723" s="287"/>
      <c r="J723" s="287"/>
      <c r="K723" s="28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</row>
    <row r="724" ht="18.0" customHeight="1">
      <c r="A724" s="287"/>
      <c r="B724" s="373"/>
      <c r="C724" s="287"/>
      <c r="D724" s="285"/>
      <c r="E724" s="287"/>
      <c r="F724" s="7"/>
      <c r="G724" s="287"/>
      <c r="H724" s="7"/>
      <c r="I724" s="287"/>
      <c r="J724" s="287"/>
      <c r="K724" s="28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</row>
    <row r="725" ht="18.0" customHeight="1">
      <c r="A725" s="287"/>
      <c r="B725" s="373"/>
      <c r="C725" s="287"/>
      <c r="D725" s="285"/>
      <c r="E725" s="287"/>
      <c r="F725" s="7"/>
      <c r="G725" s="287"/>
      <c r="H725" s="7"/>
      <c r="I725" s="287"/>
      <c r="J725" s="287"/>
      <c r="K725" s="28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</row>
    <row r="726" ht="18.0" customHeight="1">
      <c r="A726" s="287"/>
      <c r="B726" s="373"/>
      <c r="C726" s="287"/>
      <c r="D726" s="285"/>
      <c r="E726" s="287"/>
      <c r="F726" s="7"/>
      <c r="G726" s="287"/>
      <c r="H726" s="7"/>
      <c r="I726" s="287"/>
      <c r="J726" s="287"/>
      <c r="K726" s="28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</row>
    <row r="727" ht="18.0" customHeight="1">
      <c r="A727" s="287"/>
      <c r="B727" s="373"/>
      <c r="C727" s="287"/>
      <c r="D727" s="285"/>
      <c r="E727" s="287"/>
      <c r="F727" s="7"/>
      <c r="G727" s="287"/>
      <c r="H727" s="7"/>
      <c r="I727" s="287"/>
      <c r="J727" s="287"/>
      <c r="K727" s="28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</row>
    <row r="728" ht="18.0" customHeight="1">
      <c r="A728" s="287"/>
      <c r="B728" s="373"/>
      <c r="C728" s="287"/>
      <c r="D728" s="285"/>
      <c r="E728" s="287"/>
      <c r="F728" s="7"/>
      <c r="G728" s="287"/>
      <c r="H728" s="7"/>
      <c r="I728" s="287"/>
      <c r="J728" s="287"/>
      <c r="K728" s="28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</row>
    <row r="729" ht="18.0" customHeight="1">
      <c r="A729" s="287"/>
      <c r="B729" s="373"/>
      <c r="C729" s="287"/>
      <c r="D729" s="285"/>
      <c r="E729" s="287"/>
      <c r="F729" s="7"/>
      <c r="G729" s="287"/>
      <c r="H729" s="7"/>
      <c r="I729" s="287"/>
      <c r="J729" s="287"/>
      <c r="K729" s="28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</row>
    <row r="730" ht="18.0" customHeight="1">
      <c r="A730" s="287"/>
      <c r="B730" s="373"/>
      <c r="C730" s="287"/>
      <c r="D730" s="285"/>
      <c r="E730" s="287"/>
      <c r="F730" s="7"/>
      <c r="G730" s="287"/>
      <c r="H730" s="7"/>
      <c r="I730" s="287"/>
      <c r="J730" s="287"/>
      <c r="K730" s="28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</row>
    <row r="731" ht="18.0" customHeight="1">
      <c r="A731" s="287"/>
      <c r="B731" s="373"/>
      <c r="C731" s="287"/>
      <c r="D731" s="285"/>
      <c r="E731" s="287"/>
      <c r="F731" s="7"/>
      <c r="G731" s="287"/>
      <c r="H731" s="7"/>
      <c r="I731" s="287"/>
      <c r="J731" s="287"/>
      <c r="K731" s="28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</row>
    <row r="732" ht="18.0" customHeight="1">
      <c r="A732" s="287"/>
      <c r="B732" s="373"/>
      <c r="C732" s="287"/>
      <c r="D732" s="285"/>
      <c r="E732" s="287"/>
      <c r="F732" s="7"/>
      <c r="G732" s="287"/>
      <c r="H732" s="7"/>
      <c r="I732" s="287"/>
      <c r="J732" s="287"/>
      <c r="K732" s="28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</row>
    <row r="733" ht="18.0" customHeight="1">
      <c r="A733" s="287"/>
      <c r="B733" s="373"/>
      <c r="C733" s="287"/>
      <c r="D733" s="285"/>
      <c r="E733" s="287"/>
      <c r="F733" s="7"/>
      <c r="G733" s="287"/>
      <c r="H733" s="7"/>
      <c r="I733" s="287"/>
      <c r="J733" s="287"/>
      <c r="K733" s="28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</row>
    <row r="734" ht="18.0" customHeight="1">
      <c r="A734" s="287"/>
      <c r="B734" s="373"/>
      <c r="C734" s="287"/>
      <c r="D734" s="285"/>
      <c r="E734" s="287"/>
      <c r="F734" s="7"/>
      <c r="G734" s="287"/>
      <c r="H734" s="7"/>
      <c r="I734" s="287"/>
      <c r="J734" s="287"/>
      <c r="K734" s="28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</row>
    <row r="735" ht="18.0" customHeight="1">
      <c r="A735" s="287"/>
      <c r="B735" s="373"/>
      <c r="C735" s="287"/>
      <c r="D735" s="285"/>
      <c r="E735" s="287"/>
      <c r="F735" s="7"/>
      <c r="G735" s="287"/>
      <c r="H735" s="7"/>
      <c r="I735" s="287"/>
      <c r="J735" s="287"/>
      <c r="K735" s="28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</row>
    <row r="736" ht="18.0" customHeight="1">
      <c r="A736" s="287"/>
      <c r="B736" s="373"/>
      <c r="C736" s="287"/>
      <c r="D736" s="285"/>
      <c r="E736" s="287"/>
      <c r="F736" s="7"/>
      <c r="G736" s="287"/>
      <c r="H736" s="7"/>
      <c r="I736" s="287"/>
      <c r="J736" s="287"/>
      <c r="K736" s="28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</row>
    <row r="737" ht="18.0" customHeight="1">
      <c r="A737" s="287"/>
      <c r="B737" s="373"/>
      <c r="C737" s="287"/>
      <c r="D737" s="285"/>
      <c r="E737" s="287"/>
      <c r="F737" s="7"/>
      <c r="G737" s="287"/>
      <c r="H737" s="7"/>
      <c r="I737" s="287"/>
      <c r="J737" s="287"/>
      <c r="K737" s="28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</row>
    <row r="738" ht="18.0" customHeight="1">
      <c r="A738" s="287"/>
      <c r="B738" s="373"/>
      <c r="C738" s="287"/>
      <c r="D738" s="285"/>
      <c r="E738" s="287"/>
      <c r="F738" s="7"/>
      <c r="G738" s="287"/>
      <c r="H738" s="7"/>
      <c r="I738" s="287"/>
      <c r="J738" s="287"/>
      <c r="K738" s="28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</row>
    <row r="739" ht="18.0" customHeight="1">
      <c r="A739" s="287"/>
      <c r="B739" s="373"/>
      <c r="C739" s="287"/>
      <c r="D739" s="285"/>
      <c r="E739" s="287"/>
      <c r="F739" s="7"/>
      <c r="G739" s="287"/>
      <c r="H739" s="7"/>
      <c r="I739" s="287"/>
      <c r="J739" s="287"/>
      <c r="K739" s="28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</row>
    <row r="740" ht="18.0" customHeight="1">
      <c r="A740" s="287"/>
      <c r="B740" s="373"/>
      <c r="C740" s="287"/>
      <c r="D740" s="285"/>
      <c r="E740" s="287"/>
      <c r="F740" s="7"/>
      <c r="G740" s="287"/>
      <c r="H740" s="7"/>
      <c r="I740" s="287"/>
      <c r="J740" s="287"/>
      <c r="K740" s="28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</row>
    <row r="741" ht="18.0" customHeight="1">
      <c r="A741" s="287"/>
      <c r="B741" s="373"/>
      <c r="C741" s="287"/>
      <c r="D741" s="285"/>
      <c r="E741" s="287"/>
      <c r="F741" s="7"/>
      <c r="G741" s="287"/>
      <c r="H741" s="7"/>
      <c r="I741" s="287"/>
      <c r="J741" s="287"/>
      <c r="K741" s="28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</row>
    <row r="742" ht="18.0" customHeight="1">
      <c r="A742" s="287"/>
      <c r="B742" s="373"/>
      <c r="C742" s="287"/>
      <c r="D742" s="285"/>
      <c r="E742" s="287"/>
      <c r="F742" s="7"/>
      <c r="G742" s="287"/>
      <c r="H742" s="7"/>
      <c r="I742" s="287"/>
      <c r="J742" s="287"/>
      <c r="K742" s="28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</row>
    <row r="743" ht="18.0" customHeight="1">
      <c r="A743" s="287"/>
      <c r="B743" s="373"/>
      <c r="C743" s="287"/>
      <c r="D743" s="285"/>
      <c r="E743" s="287"/>
      <c r="F743" s="7"/>
      <c r="G743" s="287"/>
      <c r="H743" s="7"/>
      <c r="I743" s="287"/>
      <c r="J743" s="287"/>
      <c r="K743" s="28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</row>
    <row r="744" ht="18.0" customHeight="1">
      <c r="A744" s="287"/>
      <c r="B744" s="373"/>
      <c r="C744" s="287"/>
      <c r="D744" s="285"/>
      <c r="E744" s="287"/>
      <c r="F744" s="7"/>
      <c r="G744" s="287"/>
      <c r="H744" s="7"/>
      <c r="I744" s="287"/>
      <c r="J744" s="287"/>
      <c r="K744" s="28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</row>
    <row r="745" ht="18.0" customHeight="1">
      <c r="A745" s="287"/>
      <c r="B745" s="373"/>
      <c r="C745" s="287"/>
      <c r="D745" s="285"/>
      <c r="E745" s="287"/>
      <c r="F745" s="7"/>
      <c r="G745" s="287"/>
      <c r="H745" s="7"/>
      <c r="I745" s="287"/>
      <c r="J745" s="287"/>
      <c r="K745" s="28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</row>
    <row r="746" ht="18.0" customHeight="1">
      <c r="A746" s="287"/>
      <c r="B746" s="373"/>
      <c r="C746" s="287"/>
      <c r="D746" s="285"/>
      <c r="E746" s="287"/>
      <c r="F746" s="7"/>
      <c r="G746" s="287"/>
      <c r="H746" s="7"/>
      <c r="I746" s="287"/>
      <c r="J746" s="287"/>
      <c r="K746" s="28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</row>
    <row r="747" ht="18.0" customHeight="1">
      <c r="A747" s="287"/>
      <c r="B747" s="373"/>
      <c r="C747" s="287"/>
      <c r="D747" s="285"/>
      <c r="E747" s="287"/>
      <c r="F747" s="7"/>
      <c r="G747" s="287"/>
      <c r="H747" s="7"/>
      <c r="I747" s="287"/>
      <c r="J747" s="287"/>
      <c r="K747" s="28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</row>
    <row r="748" ht="18.0" customHeight="1">
      <c r="A748" s="287"/>
      <c r="B748" s="373"/>
      <c r="C748" s="287"/>
      <c r="D748" s="285"/>
      <c r="E748" s="287"/>
      <c r="F748" s="7"/>
      <c r="G748" s="287"/>
      <c r="H748" s="7"/>
      <c r="I748" s="287"/>
      <c r="J748" s="287"/>
      <c r="K748" s="28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</row>
    <row r="749" ht="18.0" customHeight="1">
      <c r="A749" s="287"/>
      <c r="B749" s="373"/>
      <c r="C749" s="287"/>
      <c r="D749" s="285"/>
      <c r="E749" s="287"/>
      <c r="F749" s="7"/>
      <c r="G749" s="287"/>
      <c r="H749" s="7"/>
      <c r="I749" s="287"/>
      <c r="J749" s="287"/>
      <c r="K749" s="28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</row>
    <row r="750" ht="18.0" customHeight="1">
      <c r="A750" s="287"/>
      <c r="B750" s="373"/>
      <c r="C750" s="287"/>
      <c r="D750" s="285"/>
      <c r="E750" s="287"/>
      <c r="F750" s="7"/>
      <c r="G750" s="287"/>
      <c r="H750" s="7"/>
      <c r="I750" s="287"/>
      <c r="J750" s="287"/>
      <c r="K750" s="28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</row>
    <row r="751" ht="18.0" customHeight="1">
      <c r="A751" s="287"/>
      <c r="B751" s="373"/>
      <c r="C751" s="287"/>
      <c r="D751" s="285"/>
      <c r="E751" s="287"/>
      <c r="F751" s="7"/>
      <c r="G751" s="287"/>
      <c r="H751" s="7"/>
      <c r="I751" s="287"/>
      <c r="J751" s="287"/>
      <c r="K751" s="28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</row>
    <row r="752" ht="18.0" customHeight="1">
      <c r="A752" s="287"/>
      <c r="B752" s="373"/>
      <c r="C752" s="287"/>
      <c r="D752" s="285"/>
      <c r="E752" s="287"/>
      <c r="F752" s="7"/>
      <c r="G752" s="287"/>
      <c r="H752" s="7"/>
      <c r="I752" s="287"/>
      <c r="J752" s="287"/>
      <c r="K752" s="28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</row>
    <row r="753" ht="18.0" customHeight="1">
      <c r="A753" s="287"/>
      <c r="B753" s="373"/>
      <c r="C753" s="287"/>
      <c r="D753" s="285"/>
      <c r="E753" s="287"/>
      <c r="F753" s="7"/>
      <c r="G753" s="287"/>
      <c r="H753" s="7"/>
      <c r="I753" s="287"/>
      <c r="J753" s="287"/>
      <c r="K753" s="28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</row>
    <row r="754" ht="18.0" customHeight="1">
      <c r="A754" s="287"/>
      <c r="B754" s="373"/>
      <c r="C754" s="287"/>
      <c r="D754" s="285"/>
      <c r="E754" s="287"/>
      <c r="F754" s="7"/>
      <c r="G754" s="287"/>
      <c r="H754" s="7"/>
      <c r="I754" s="287"/>
      <c r="J754" s="287"/>
      <c r="K754" s="28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</row>
    <row r="755" ht="18.0" customHeight="1">
      <c r="A755" s="287"/>
      <c r="B755" s="373"/>
      <c r="C755" s="287"/>
      <c r="D755" s="285"/>
      <c r="E755" s="287"/>
      <c r="F755" s="7"/>
      <c r="G755" s="287"/>
      <c r="H755" s="7"/>
      <c r="I755" s="287"/>
      <c r="J755" s="287"/>
      <c r="K755" s="28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</row>
    <row r="756" ht="18.0" customHeight="1">
      <c r="A756" s="287"/>
      <c r="B756" s="373"/>
      <c r="C756" s="287"/>
      <c r="D756" s="285"/>
      <c r="E756" s="287"/>
      <c r="F756" s="7"/>
      <c r="G756" s="287"/>
      <c r="H756" s="7"/>
      <c r="I756" s="287"/>
      <c r="J756" s="287"/>
      <c r="K756" s="28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</row>
    <row r="757" ht="18.0" customHeight="1">
      <c r="A757" s="287"/>
      <c r="B757" s="373"/>
      <c r="C757" s="287"/>
      <c r="D757" s="285"/>
      <c r="E757" s="287"/>
      <c r="F757" s="7"/>
      <c r="G757" s="287"/>
      <c r="H757" s="7"/>
      <c r="I757" s="287"/>
      <c r="J757" s="287"/>
      <c r="K757" s="28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</row>
    <row r="758" ht="18.0" customHeight="1">
      <c r="A758" s="287"/>
      <c r="B758" s="373"/>
      <c r="C758" s="287"/>
      <c r="D758" s="285"/>
      <c r="E758" s="287"/>
      <c r="F758" s="7"/>
      <c r="G758" s="287"/>
      <c r="H758" s="7"/>
      <c r="I758" s="287"/>
      <c r="J758" s="287"/>
      <c r="K758" s="28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</row>
    <row r="759" ht="18.0" customHeight="1">
      <c r="A759" s="287"/>
      <c r="B759" s="373"/>
      <c r="C759" s="287"/>
      <c r="D759" s="285"/>
      <c r="E759" s="287"/>
      <c r="F759" s="7"/>
      <c r="G759" s="287"/>
      <c r="H759" s="7"/>
      <c r="I759" s="287"/>
      <c r="J759" s="287"/>
      <c r="K759" s="28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</row>
    <row r="760" ht="18.0" customHeight="1">
      <c r="A760" s="287"/>
      <c r="B760" s="373"/>
      <c r="C760" s="287"/>
      <c r="D760" s="285"/>
      <c r="E760" s="287"/>
      <c r="F760" s="7"/>
      <c r="G760" s="287"/>
      <c r="H760" s="7"/>
      <c r="I760" s="287"/>
      <c r="J760" s="287"/>
      <c r="K760" s="28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</row>
    <row r="761" ht="18.0" customHeight="1">
      <c r="A761" s="287"/>
      <c r="B761" s="373"/>
      <c r="C761" s="287"/>
      <c r="D761" s="285"/>
      <c r="E761" s="287"/>
      <c r="F761" s="7"/>
      <c r="G761" s="287"/>
      <c r="H761" s="7"/>
      <c r="I761" s="287"/>
      <c r="J761" s="287"/>
      <c r="K761" s="28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</row>
    <row r="762" ht="18.0" customHeight="1">
      <c r="A762" s="287"/>
      <c r="B762" s="373"/>
      <c r="C762" s="287"/>
      <c r="D762" s="285"/>
      <c r="E762" s="287"/>
      <c r="F762" s="7"/>
      <c r="G762" s="287"/>
      <c r="H762" s="7"/>
      <c r="I762" s="287"/>
      <c r="J762" s="287"/>
      <c r="K762" s="28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</row>
    <row r="763" ht="18.0" customHeight="1">
      <c r="A763" s="287"/>
      <c r="B763" s="373"/>
      <c r="C763" s="287"/>
      <c r="D763" s="285"/>
      <c r="E763" s="287"/>
      <c r="F763" s="7"/>
      <c r="G763" s="287"/>
      <c r="H763" s="7"/>
      <c r="I763" s="287"/>
      <c r="J763" s="287"/>
      <c r="K763" s="28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</row>
    <row r="764" ht="18.0" customHeight="1">
      <c r="A764" s="287"/>
      <c r="B764" s="373"/>
      <c r="C764" s="287"/>
      <c r="D764" s="285"/>
      <c r="E764" s="287"/>
      <c r="F764" s="7"/>
      <c r="G764" s="287"/>
      <c r="H764" s="7"/>
      <c r="I764" s="287"/>
      <c r="J764" s="287"/>
      <c r="K764" s="28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</row>
    <row r="765" ht="18.0" customHeight="1">
      <c r="A765" s="287"/>
      <c r="B765" s="373"/>
      <c r="C765" s="287"/>
      <c r="D765" s="285"/>
      <c r="E765" s="287"/>
      <c r="F765" s="7"/>
      <c r="G765" s="287"/>
      <c r="H765" s="7"/>
      <c r="I765" s="287"/>
      <c r="J765" s="287"/>
      <c r="K765" s="28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</row>
    <row r="766" ht="18.0" customHeight="1">
      <c r="A766" s="287"/>
      <c r="B766" s="373"/>
      <c r="C766" s="287"/>
      <c r="D766" s="285"/>
      <c r="E766" s="287"/>
      <c r="F766" s="7"/>
      <c r="G766" s="287"/>
      <c r="H766" s="7"/>
      <c r="I766" s="287"/>
      <c r="J766" s="287"/>
      <c r="K766" s="28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</row>
    <row r="767" ht="18.0" customHeight="1">
      <c r="A767" s="287"/>
      <c r="B767" s="373"/>
      <c r="C767" s="287"/>
      <c r="D767" s="285"/>
      <c r="E767" s="287"/>
      <c r="F767" s="7"/>
      <c r="G767" s="287"/>
      <c r="H767" s="7"/>
      <c r="I767" s="287"/>
      <c r="J767" s="287"/>
      <c r="K767" s="28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</row>
    <row r="768" ht="18.0" customHeight="1">
      <c r="A768" s="287"/>
      <c r="B768" s="373"/>
      <c r="C768" s="287"/>
      <c r="D768" s="285"/>
      <c r="E768" s="287"/>
      <c r="F768" s="7"/>
      <c r="G768" s="287"/>
      <c r="H768" s="7"/>
      <c r="I768" s="287"/>
      <c r="J768" s="287"/>
      <c r="K768" s="28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</row>
    <row r="769" ht="18.0" customHeight="1">
      <c r="A769" s="287"/>
      <c r="B769" s="373"/>
      <c r="C769" s="287"/>
      <c r="D769" s="285"/>
      <c r="E769" s="287"/>
      <c r="F769" s="7"/>
      <c r="G769" s="287"/>
      <c r="H769" s="7"/>
      <c r="I769" s="287"/>
      <c r="J769" s="287"/>
      <c r="K769" s="28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</row>
    <row r="770" ht="18.0" customHeight="1">
      <c r="A770" s="287"/>
      <c r="B770" s="373"/>
      <c r="C770" s="287"/>
      <c r="D770" s="285"/>
      <c r="E770" s="287"/>
      <c r="F770" s="7"/>
      <c r="G770" s="287"/>
      <c r="H770" s="7"/>
      <c r="I770" s="287"/>
      <c r="J770" s="287"/>
      <c r="K770" s="28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</row>
    <row r="771" ht="18.0" customHeight="1">
      <c r="A771" s="287"/>
      <c r="B771" s="373"/>
      <c r="C771" s="287"/>
      <c r="D771" s="285"/>
      <c r="E771" s="287"/>
      <c r="F771" s="7"/>
      <c r="G771" s="287"/>
      <c r="H771" s="7"/>
      <c r="I771" s="287"/>
      <c r="J771" s="287"/>
      <c r="K771" s="28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</row>
    <row r="772" ht="18.0" customHeight="1">
      <c r="A772" s="287"/>
      <c r="B772" s="373"/>
      <c r="C772" s="287"/>
      <c r="D772" s="285"/>
      <c r="E772" s="287"/>
      <c r="F772" s="7"/>
      <c r="G772" s="287"/>
      <c r="H772" s="7"/>
      <c r="I772" s="287"/>
      <c r="J772" s="287"/>
      <c r="K772" s="28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</row>
    <row r="773" ht="18.0" customHeight="1">
      <c r="A773" s="287"/>
      <c r="B773" s="373"/>
      <c r="C773" s="287"/>
      <c r="D773" s="285"/>
      <c r="E773" s="287"/>
      <c r="F773" s="7"/>
      <c r="G773" s="287"/>
      <c r="H773" s="7"/>
      <c r="I773" s="287"/>
      <c r="J773" s="287"/>
      <c r="K773" s="28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</row>
    <row r="774" ht="18.0" customHeight="1">
      <c r="A774" s="287"/>
      <c r="B774" s="373"/>
      <c r="C774" s="287"/>
      <c r="D774" s="285"/>
      <c r="E774" s="287"/>
      <c r="F774" s="7"/>
      <c r="G774" s="287"/>
      <c r="H774" s="7"/>
      <c r="I774" s="287"/>
      <c r="J774" s="287"/>
      <c r="K774" s="28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</row>
    <row r="775" ht="18.0" customHeight="1">
      <c r="A775" s="287"/>
      <c r="B775" s="373"/>
      <c r="C775" s="287"/>
      <c r="D775" s="285"/>
      <c r="E775" s="287"/>
      <c r="F775" s="7"/>
      <c r="G775" s="287"/>
      <c r="H775" s="7"/>
      <c r="I775" s="287"/>
      <c r="J775" s="287"/>
      <c r="K775" s="28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</row>
    <row r="776" ht="18.0" customHeight="1">
      <c r="A776" s="287"/>
      <c r="B776" s="373"/>
      <c r="C776" s="287"/>
      <c r="D776" s="285"/>
      <c r="E776" s="287"/>
      <c r="F776" s="7"/>
      <c r="G776" s="287"/>
      <c r="H776" s="7"/>
      <c r="I776" s="287"/>
      <c r="J776" s="287"/>
      <c r="K776" s="28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</row>
    <row r="777" ht="18.0" customHeight="1">
      <c r="A777" s="287"/>
      <c r="B777" s="373"/>
      <c r="C777" s="287"/>
      <c r="D777" s="285"/>
      <c r="E777" s="287"/>
      <c r="F777" s="7"/>
      <c r="G777" s="287"/>
      <c r="H777" s="7"/>
      <c r="I777" s="287"/>
      <c r="J777" s="287"/>
      <c r="K777" s="28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</row>
    <row r="778" ht="18.0" customHeight="1">
      <c r="A778" s="287"/>
      <c r="B778" s="373"/>
      <c r="C778" s="287"/>
      <c r="D778" s="285"/>
      <c r="E778" s="287"/>
      <c r="F778" s="7"/>
      <c r="G778" s="287"/>
      <c r="H778" s="7"/>
      <c r="I778" s="287"/>
      <c r="J778" s="287"/>
      <c r="K778" s="28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</row>
    <row r="779" ht="18.0" customHeight="1">
      <c r="A779" s="287"/>
      <c r="B779" s="373"/>
      <c r="C779" s="287"/>
      <c r="D779" s="285"/>
      <c r="E779" s="287"/>
      <c r="F779" s="7"/>
      <c r="G779" s="287"/>
      <c r="H779" s="7"/>
      <c r="I779" s="287"/>
      <c r="J779" s="287"/>
      <c r="K779" s="28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</row>
    <row r="780" ht="18.0" customHeight="1">
      <c r="A780" s="287"/>
      <c r="B780" s="373"/>
      <c r="C780" s="287"/>
      <c r="D780" s="285"/>
      <c r="E780" s="287"/>
      <c r="F780" s="7"/>
      <c r="G780" s="287"/>
      <c r="H780" s="7"/>
      <c r="I780" s="287"/>
      <c r="J780" s="287"/>
      <c r="K780" s="28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</row>
    <row r="781" ht="18.0" customHeight="1">
      <c r="A781" s="287"/>
      <c r="B781" s="373"/>
      <c r="C781" s="287"/>
      <c r="D781" s="285"/>
      <c r="E781" s="287"/>
      <c r="F781" s="7"/>
      <c r="G781" s="287"/>
      <c r="H781" s="7"/>
      <c r="I781" s="287"/>
      <c r="J781" s="287"/>
      <c r="K781" s="28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</row>
    <row r="782" ht="18.0" customHeight="1">
      <c r="A782" s="287"/>
      <c r="B782" s="373"/>
      <c r="C782" s="287"/>
      <c r="D782" s="285"/>
      <c r="E782" s="287"/>
      <c r="F782" s="7"/>
      <c r="G782" s="287"/>
      <c r="H782" s="7"/>
      <c r="I782" s="287"/>
      <c r="J782" s="287"/>
      <c r="K782" s="28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</row>
    <row r="783" ht="18.0" customHeight="1">
      <c r="A783" s="287"/>
      <c r="B783" s="373"/>
      <c r="C783" s="287"/>
      <c r="D783" s="285"/>
      <c r="E783" s="287"/>
      <c r="F783" s="7"/>
      <c r="G783" s="287"/>
      <c r="H783" s="7"/>
      <c r="I783" s="287"/>
      <c r="J783" s="287"/>
      <c r="K783" s="28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</row>
    <row r="784" ht="18.0" customHeight="1">
      <c r="A784" s="287"/>
      <c r="B784" s="373"/>
      <c r="C784" s="287"/>
      <c r="D784" s="285"/>
      <c r="E784" s="287"/>
      <c r="F784" s="7"/>
      <c r="G784" s="287"/>
      <c r="H784" s="7"/>
      <c r="I784" s="287"/>
      <c r="J784" s="287"/>
      <c r="K784" s="28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</row>
    <row r="785" ht="18.0" customHeight="1">
      <c r="A785" s="287"/>
      <c r="B785" s="373"/>
      <c r="C785" s="287"/>
      <c r="D785" s="285"/>
      <c r="E785" s="287"/>
      <c r="F785" s="7"/>
      <c r="G785" s="287"/>
      <c r="H785" s="7"/>
      <c r="I785" s="287"/>
      <c r="J785" s="287"/>
      <c r="K785" s="28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</row>
    <row r="786" ht="18.0" customHeight="1">
      <c r="A786" s="287"/>
      <c r="B786" s="373"/>
      <c r="C786" s="287"/>
      <c r="D786" s="285"/>
      <c r="E786" s="287"/>
      <c r="F786" s="7"/>
      <c r="G786" s="287"/>
      <c r="H786" s="7"/>
      <c r="I786" s="287"/>
      <c r="J786" s="287"/>
      <c r="K786" s="28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</row>
    <row r="787" ht="18.0" customHeight="1">
      <c r="A787" s="287"/>
      <c r="B787" s="373"/>
      <c r="C787" s="287"/>
      <c r="D787" s="285"/>
      <c r="E787" s="287"/>
      <c r="F787" s="7"/>
      <c r="G787" s="287"/>
      <c r="H787" s="7"/>
      <c r="I787" s="287"/>
      <c r="J787" s="287"/>
      <c r="K787" s="28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</row>
    <row r="788" ht="18.0" customHeight="1">
      <c r="A788" s="287"/>
      <c r="B788" s="373"/>
      <c r="C788" s="287"/>
      <c r="D788" s="285"/>
      <c r="E788" s="287"/>
      <c r="F788" s="7"/>
      <c r="G788" s="287"/>
      <c r="H788" s="7"/>
      <c r="I788" s="287"/>
      <c r="J788" s="287"/>
      <c r="K788" s="28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</row>
    <row r="789" ht="18.0" customHeight="1">
      <c r="A789" s="287"/>
      <c r="B789" s="373"/>
      <c r="C789" s="287"/>
      <c r="D789" s="285"/>
      <c r="E789" s="287"/>
      <c r="F789" s="7"/>
      <c r="G789" s="287"/>
      <c r="H789" s="7"/>
      <c r="I789" s="287"/>
      <c r="J789" s="287"/>
      <c r="K789" s="28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</row>
    <row r="790" ht="18.0" customHeight="1">
      <c r="A790" s="287"/>
      <c r="B790" s="373"/>
      <c r="C790" s="287"/>
      <c r="D790" s="285"/>
      <c r="E790" s="287"/>
      <c r="F790" s="7"/>
      <c r="G790" s="287"/>
      <c r="H790" s="7"/>
      <c r="I790" s="287"/>
      <c r="J790" s="287"/>
      <c r="K790" s="28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</row>
    <row r="791" ht="18.0" customHeight="1">
      <c r="A791" s="287"/>
      <c r="B791" s="373"/>
      <c r="C791" s="287"/>
      <c r="D791" s="285"/>
      <c r="E791" s="287"/>
      <c r="F791" s="7"/>
      <c r="G791" s="287"/>
      <c r="H791" s="7"/>
      <c r="I791" s="287"/>
      <c r="J791" s="287"/>
      <c r="K791" s="28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</row>
    <row r="792" ht="18.0" customHeight="1">
      <c r="A792" s="287"/>
      <c r="B792" s="373"/>
      <c r="C792" s="287"/>
      <c r="D792" s="285"/>
      <c r="E792" s="287"/>
      <c r="F792" s="7"/>
      <c r="G792" s="287"/>
      <c r="H792" s="7"/>
      <c r="I792" s="287"/>
      <c r="J792" s="287"/>
      <c r="K792" s="28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</row>
    <row r="793" ht="18.0" customHeight="1">
      <c r="A793" s="287"/>
      <c r="B793" s="373"/>
      <c r="C793" s="287"/>
      <c r="D793" s="285"/>
      <c r="E793" s="287"/>
      <c r="F793" s="7"/>
      <c r="G793" s="287"/>
      <c r="H793" s="7"/>
      <c r="I793" s="287"/>
      <c r="J793" s="287"/>
      <c r="K793" s="28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</row>
    <row r="794" ht="18.0" customHeight="1">
      <c r="A794" s="287"/>
      <c r="B794" s="373"/>
      <c r="C794" s="287"/>
      <c r="D794" s="285"/>
      <c r="E794" s="287"/>
      <c r="F794" s="7"/>
      <c r="G794" s="287"/>
      <c r="H794" s="7"/>
      <c r="I794" s="287"/>
      <c r="J794" s="287"/>
      <c r="K794" s="28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</row>
    <row r="795" ht="18.0" customHeight="1">
      <c r="A795" s="287"/>
      <c r="B795" s="373"/>
      <c r="C795" s="287"/>
      <c r="D795" s="285"/>
      <c r="E795" s="287"/>
      <c r="F795" s="7"/>
      <c r="G795" s="287"/>
      <c r="H795" s="7"/>
      <c r="I795" s="287"/>
      <c r="J795" s="287"/>
      <c r="K795" s="28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</row>
    <row r="796" ht="18.0" customHeight="1">
      <c r="A796" s="287"/>
      <c r="B796" s="373"/>
      <c r="C796" s="287"/>
      <c r="D796" s="285"/>
      <c r="E796" s="287"/>
      <c r="F796" s="7"/>
      <c r="G796" s="287"/>
      <c r="H796" s="7"/>
      <c r="I796" s="287"/>
      <c r="J796" s="287"/>
      <c r="K796" s="28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</row>
    <row r="797" ht="18.0" customHeight="1">
      <c r="A797" s="287"/>
      <c r="B797" s="373"/>
      <c r="C797" s="287"/>
      <c r="D797" s="285"/>
      <c r="E797" s="287"/>
      <c r="F797" s="7"/>
      <c r="G797" s="287"/>
      <c r="H797" s="7"/>
      <c r="I797" s="287"/>
      <c r="J797" s="287"/>
      <c r="K797" s="28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</row>
    <row r="798" ht="18.0" customHeight="1">
      <c r="A798" s="287"/>
      <c r="B798" s="373"/>
      <c r="C798" s="287"/>
      <c r="D798" s="285"/>
      <c r="E798" s="287"/>
      <c r="F798" s="7"/>
      <c r="G798" s="287"/>
      <c r="H798" s="7"/>
      <c r="I798" s="287"/>
      <c r="J798" s="287"/>
      <c r="K798" s="28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</row>
    <row r="799" ht="18.0" customHeight="1">
      <c r="A799" s="287"/>
      <c r="B799" s="373"/>
      <c r="C799" s="287"/>
      <c r="D799" s="285"/>
      <c r="E799" s="287"/>
      <c r="F799" s="7"/>
      <c r="G799" s="287"/>
      <c r="H799" s="7"/>
      <c r="I799" s="287"/>
      <c r="J799" s="287"/>
      <c r="K799" s="28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</row>
    <row r="800" ht="18.0" customHeight="1">
      <c r="A800" s="287"/>
      <c r="B800" s="373"/>
      <c r="C800" s="287"/>
      <c r="D800" s="285"/>
      <c r="E800" s="287"/>
      <c r="F800" s="7"/>
      <c r="G800" s="287"/>
      <c r="H800" s="7"/>
      <c r="I800" s="287"/>
      <c r="J800" s="287"/>
      <c r="K800" s="28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</row>
    <row r="801" ht="18.0" customHeight="1">
      <c r="A801" s="287"/>
      <c r="B801" s="373"/>
      <c r="C801" s="287"/>
      <c r="D801" s="285"/>
      <c r="E801" s="287"/>
      <c r="F801" s="7"/>
      <c r="G801" s="287"/>
      <c r="H801" s="7"/>
      <c r="I801" s="287"/>
      <c r="J801" s="287"/>
      <c r="K801" s="28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</row>
    <row r="802" ht="18.0" customHeight="1">
      <c r="A802" s="287"/>
      <c r="B802" s="373"/>
      <c r="C802" s="287"/>
      <c r="D802" s="285"/>
      <c r="E802" s="287"/>
      <c r="F802" s="7"/>
      <c r="G802" s="287"/>
      <c r="H802" s="7"/>
      <c r="I802" s="287"/>
      <c r="J802" s="287"/>
      <c r="K802" s="28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</row>
    <row r="803" ht="18.0" customHeight="1">
      <c r="A803" s="287"/>
      <c r="B803" s="373"/>
      <c r="C803" s="287"/>
      <c r="D803" s="285"/>
      <c r="E803" s="287"/>
      <c r="F803" s="7"/>
      <c r="G803" s="287"/>
      <c r="H803" s="7"/>
      <c r="I803" s="287"/>
      <c r="J803" s="287"/>
      <c r="K803" s="28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</row>
    <row r="804" ht="18.0" customHeight="1">
      <c r="A804" s="287"/>
      <c r="B804" s="373"/>
      <c r="C804" s="287"/>
      <c r="D804" s="285"/>
      <c r="E804" s="287"/>
      <c r="F804" s="7"/>
      <c r="G804" s="287"/>
      <c r="H804" s="7"/>
      <c r="I804" s="287"/>
      <c r="J804" s="287"/>
      <c r="K804" s="28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</row>
    <row r="805" ht="18.0" customHeight="1">
      <c r="A805" s="287"/>
      <c r="B805" s="373"/>
      <c r="C805" s="287"/>
      <c r="D805" s="285"/>
      <c r="E805" s="287"/>
      <c r="F805" s="7"/>
      <c r="G805" s="287"/>
      <c r="H805" s="7"/>
      <c r="I805" s="287"/>
      <c r="J805" s="287"/>
      <c r="K805" s="28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</row>
    <row r="806" ht="18.0" customHeight="1">
      <c r="A806" s="287"/>
      <c r="B806" s="373"/>
      <c r="C806" s="287"/>
      <c r="D806" s="285"/>
      <c r="E806" s="287"/>
      <c r="F806" s="7"/>
      <c r="G806" s="287"/>
      <c r="H806" s="7"/>
      <c r="I806" s="287"/>
      <c r="J806" s="287"/>
      <c r="K806" s="28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</row>
    <row r="807" ht="18.0" customHeight="1">
      <c r="A807" s="287"/>
      <c r="B807" s="373"/>
      <c r="C807" s="287"/>
      <c r="D807" s="285"/>
      <c r="E807" s="287"/>
      <c r="F807" s="7"/>
      <c r="G807" s="287"/>
      <c r="H807" s="7"/>
      <c r="I807" s="287"/>
      <c r="J807" s="287"/>
      <c r="K807" s="28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</row>
    <row r="808" ht="18.0" customHeight="1">
      <c r="A808" s="287"/>
      <c r="B808" s="373"/>
      <c r="C808" s="287"/>
      <c r="D808" s="285"/>
      <c r="E808" s="287"/>
      <c r="F808" s="7"/>
      <c r="G808" s="287"/>
      <c r="H808" s="7"/>
      <c r="I808" s="287"/>
      <c r="J808" s="287"/>
      <c r="K808" s="28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</row>
    <row r="809" ht="18.0" customHeight="1">
      <c r="A809" s="287"/>
      <c r="B809" s="373"/>
      <c r="C809" s="287"/>
      <c r="D809" s="285"/>
      <c r="E809" s="287"/>
      <c r="F809" s="7"/>
      <c r="G809" s="287"/>
      <c r="H809" s="7"/>
      <c r="I809" s="287"/>
      <c r="J809" s="287"/>
      <c r="K809" s="28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</row>
    <row r="810" ht="18.0" customHeight="1">
      <c r="A810" s="287"/>
      <c r="B810" s="373"/>
      <c r="C810" s="287"/>
      <c r="D810" s="285"/>
      <c r="E810" s="287"/>
      <c r="F810" s="7"/>
      <c r="G810" s="287"/>
      <c r="H810" s="7"/>
      <c r="I810" s="287"/>
      <c r="J810" s="287"/>
      <c r="K810" s="28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</row>
    <row r="811" ht="18.0" customHeight="1">
      <c r="A811" s="287"/>
      <c r="B811" s="373"/>
      <c r="C811" s="287"/>
      <c r="D811" s="285"/>
      <c r="E811" s="287"/>
      <c r="F811" s="7"/>
      <c r="G811" s="287"/>
      <c r="H811" s="7"/>
      <c r="I811" s="287"/>
      <c r="J811" s="287"/>
      <c r="K811" s="28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</row>
    <row r="812" ht="18.0" customHeight="1">
      <c r="A812" s="287"/>
      <c r="B812" s="373"/>
      <c r="C812" s="287"/>
      <c r="D812" s="285"/>
      <c r="E812" s="287"/>
      <c r="F812" s="7"/>
      <c r="G812" s="287"/>
      <c r="H812" s="7"/>
      <c r="I812" s="287"/>
      <c r="J812" s="287"/>
      <c r="K812" s="28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</row>
    <row r="813" ht="18.0" customHeight="1">
      <c r="A813" s="287"/>
      <c r="B813" s="373"/>
      <c r="C813" s="287"/>
      <c r="D813" s="285"/>
      <c r="E813" s="287"/>
      <c r="F813" s="7"/>
      <c r="G813" s="287"/>
      <c r="H813" s="7"/>
      <c r="I813" s="287"/>
      <c r="J813" s="287"/>
      <c r="K813" s="28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</row>
    <row r="814" ht="18.0" customHeight="1">
      <c r="A814" s="287"/>
      <c r="B814" s="373"/>
      <c r="C814" s="287"/>
      <c r="D814" s="285"/>
      <c r="E814" s="287"/>
      <c r="F814" s="7"/>
      <c r="G814" s="287"/>
      <c r="H814" s="7"/>
      <c r="I814" s="287"/>
      <c r="J814" s="287"/>
      <c r="K814" s="28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</row>
    <row r="815" ht="18.0" customHeight="1">
      <c r="A815" s="287"/>
      <c r="B815" s="373"/>
      <c r="C815" s="287"/>
      <c r="D815" s="285"/>
      <c r="E815" s="287"/>
      <c r="F815" s="7"/>
      <c r="G815" s="287"/>
      <c r="H815" s="7"/>
      <c r="I815" s="287"/>
      <c r="J815" s="287"/>
      <c r="K815" s="28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</row>
    <row r="816" ht="18.0" customHeight="1">
      <c r="A816" s="287"/>
      <c r="B816" s="373"/>
      <c r="C816" s="287"/>
      <c r="D816" s="285"/>
      <c r="E816" s="287"/>
      <c r="F816" s="7"/>
      <c r="G816" s="287"/>
      <c r="H816" s="7"/>
      <c r="I816" s="287"/>
      <c r="J816" s="287"/>
      <c r="K816" s="28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</row>
    <row r="817" ht="18.0" customHeight="1">
      <c r="A817" s="287"/>
      <c r="B817" s="373"/>
      <c r="C817" s="287"/>
      <c r="D817" s="285"/>
      <c r="E817" s="287"/>
      <c r="F817" s="7"/>
      <c r="G817" s="287"/>
      <c r="H817" s="7"/>
      <c r="I817" s="287"/>
      <c r="J817" s="287"/>
      <c r="K817" s="28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</row>
    <row r="818" ht="18.0" customHeight="1">
      <c r="A818" s="287"/>
      <c r="B818" s="373"/>
      <c r="C818" s="287"/>
      <c r="D818" s="285"/>
      <c r="E818" s="287"/>
      <c r="F818" s="7"/>
      <c r="G818" s="287"/>
      <c r="H818" s="7"/>
      <c r="I818" s="287"/>
      <c r="J818" s="287"/>
      <c r="K818" s="28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</row>
    <row r="819" ht="18.0" customHeight="1">
      <c r="A819" s="287"/>
      <c r="B819" s="373"/>
      <c r="C819" s="287"/>
      <c r="D819" s="285"/>
      <c r="E819" s="287"/>
      <c r="F819" s="7"/>
      <c r="G819" s="287"/>
      <c r="H819" s="7"/>
      <c r="I819" s="287"/>
      <c r="J819" s="287"/>
      <c r="K819" s="28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</row>
    <row r="820" ht="18.0" customHeight="1">
      <c r="A820" s="287"/>
      <c r="B820" s="373"/>
      <c r="C820" s="287"/>
      <c r="D820" s="285"/>
      <c r="E820" s="287"/>
      <c r="F820" s="7"/>
      <c r="G820" s="287"/>
      <c r="H820" s="7"/>
      <c r="I820" s="287"/>
      <c r="J820" s="287"/>
      <c r="K820" s="28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</row>
    <row r="821" ht="18.0" customHeight="1">
      <c r="A821" s="287"/>
      <c r="B821" s="373"/>
      <c r="C821" s="287"/>
      <c r="D821" s="285"/>
      <c r="E821" s="287"/>
      <c r="F821" s="7"/>
      <c r="G821" s="287"/>
      <c r="H821" s="7"/>
      <c r="I821" s="287"/>
      <c r="J821" s="287"/>
      <c r="K821" s="28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</row>
    <row r="822" ht="18.0" customHeight="1">
      <c r="A822" s="287"/>
      <c r="B822" s="373"/>
      <c r="C822" s="287"/>
      <c r="D822" s="285"/>
      <c r="E822" s="287"/>
      <c r="F822" s="7"/>
      <c r="G822" s="287"/>
      <c r="H822" s="7"/>
      <c r="I822" s="287"/>
      <c r="J822" s="287"/>
      <c r="K822" s="28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</row>
    <row r="823" ht="18.0" customHeight="1">
      <c r="A823" s="287"/>
      <c r="B823" s="373"/>
      <c r="C823" s="287"/>
      <c r="D823" s="285"/>
      <c r="E823" s="287"/>
      <c r="F823" s="7"/>
      <c r="G823" s="287"/>
      <c r="H823" s="7"/>
      <c r="I823" s="287"/>
      <c r="J823" s="287"/>
      <c r="K823" s="28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</row>
    <row r="824" ht="18.0" customHeight="1">
      <c r="A824" s="287"/>
      <c r="B824" s="373"/>
      <c r="C824" s="287"/>
      <c r="D824" s="285"/>
      <c r="E824" s="287"/>
      <c r="F824" s="7"/>
      <c r="G824" s="287"/>
      <c r="H824" s="7"/>
      <c r="I824" s="287"/>
      <c r="J824" s="287"/>
      <c r="K824" s="28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</row>
    <row r="825" ht="18.0" customHeight="1">
      <c r="A825" s="287"/>
      <c r="B825" s="373"/>
      <c r="C825" s="287"/>
      <c r="D825" s="285"/>
      <c r="E825" s="287"/>
      <c r="F825" s="7"/>
      <c r="G825" s="287"/>
      <c r="H825" s="7"/>
      <c r="I825" s="287"/>
      <c r="J825" s="287"/>
      <c r="K825" s="28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</row>
    <row r="826" ht="18.0" customHeight="1">
      <c r="A826" s="287"/>
      <c r="B826" s="373"/>
      <c r="C826" s="287"/>
      <c r="D826" s="285"/>
      <c r="E826" s="287"/>
      <c r="F826" s="7"/>
      <c r="G826" s="287"/>
      <c r="H826" s="7"/>
      <c r="I826" s="287"/>
      <c r="J826" s="287"/>
      <c r="K826" s="28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</row>
    <row r="827" ht="18.0" customHeight="1">
      <c r="A827" s="287"/>
      <c r="B827" s="373"/>
      <c r="C827" s="287"/>
      <c r="D827" s="285"/>
      <c r="E827" s="287"/>
      <c r="F827" s="7"/>
      <c r="G827" s="287"/>
      <c r="H827" s="7"/>
      <c r="I827" s="287"/>
      <c r="J827" s="287"/>
      <c r="K827" s="28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</row>
    <row r="828" ht="18.0" customHeight="1">
      <c r="A828" s="287"/>
      <c r="B828" s="373"/>
      <c r="C828" s="287"/>
      <c r="D828" s="285"/>
      <c r="E828" s="287"/>
      <c r="F828" s="7"/>
      <c r="G828" s="287"/>
      <c r="H828" s="7"/>
      <c r="I828" s="287"/>
      <c r="J828" s="287"/>
      <c r="K828" s="28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</row>
    <row r="829" ht="18.0" customHeight="1">
      <c r="A829" s="287"/>
      <c r="B829" s="373"/>
      <c r="C829" s="287"/>
      <c r="D829" s="285"/>
      <c r="E829" s="287"/>
      <c r="F829" s="7"/>
      <c r="G829" s="287"/>
      <c r="H829" s="7"/>
      <c r="I829" s="287"/>
      <c r="J829" s="287"/>
      <c r="K829" s="28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</row>
    <row r="830" ht="18.0" customHeight="1">
      <c r="A830" s="287"/>
      <c r="B830" s="373"/>
      <c r="C830" s="287"/>
      <c r="D830" s="285"/>
      <c r="E830" s="287"/>
      <c r="F830" s="7"/>
      <c r="G830" s="287"/>
      <c r="H830" s="7"/>
      <c r="I830" s="287"/>
      <c r="J830" s="287"/>
      <c r="K830" s="28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</row>
    <row r="831" ht="18.0" customHeight="1">
      <c r="A831" s="287"/>
      <c r="B831" s="373"/>
      <c r="C831" s="287"/>
      <c r="D831" s="285"/>
      <c r="E831" s="287"/>
      <c r="F831" s="7"/>
      <c r="G831" s="287"/>
      <c r="H831" s="7"/>
      <c r="I831" s="287"/>
      <c r="J831" s="287"/>
      <c r="K831" s="28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</row>
    <row r="832" ht="18.0" customHeight="1">
      <c r="A832" s="287"/>
      <c r="B832" s="373"/>
      <c r="C832" s="287"/>
      <c r="D832" s="285"/>
      <c r="E832" s="287"/>
      <c r="F832" s="7"/>
      <c r="G832" s="287"/>
      <c r="H832" s="7"/>
      <c r="I832" s="287"/>
      <c r="J832" s="287"/>
      <c r="K832" s="28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</row>
    <row r="833" ht="18.0" customHeight="1">
      <c r="A833" s="287"/>
      <c r="B833" s="373"/>
      <c r="C833" s="287"/>
      <c r="D833" s="285"/>
      <c r="E833" s="287"/>
      <c r="F833" s="7"/>
      <c r="G833" s="287"/>
      <c r="H833" s="7"/>
      <c r="I833" s="287"/>
      <c r="J833" s="287"/>
      <c r="K833" s="28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</row>
    <row r="834" ht="18.0" customHeight="1">
      <c r="A834" s="287"/>
      <c r="B834" s="373"/>
      <c r="C834" s="287"/>
      <c r="D834" s="285"/>
      <c r="E834" s="287"/>
      <c r="F834" s="7"/>
      <c r="G834" s="287"/>
      <c r="H834" s="7"/>
      <c r="I834" s="287"/>
      <c r="J834" s="287"/>
      <c r="K834" s="28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</row>
    <row r="835" ht="18.0" customHeight="1">
      <c r="A835" s="287"/>
      <c r="B835" s="373"/>
      <c r="C835" s="287"/>
      <c r="D835" s="285"/>
      <c r="E835" s="287"/>
      <c r="F835" s="7"/>
      <c r="G835" s="287"/>
      <c r="H835" s="7"/>
      <c r="I835" s="287"/>
      <c r="J835" s="287"/>
      <c r="K835" s="28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</row>
    <row r="836" ht="18.0" customHeight="1">
      <c r="A836" s="287"/>
      <c r="B836" s="373"/>
      <c r="C836" s="287"/>
      <c r="D836" s="285"/>
      <c r="E836" s="287"/>
      <c r="F836" s="7"/>
      <c r="G836" s="287"/>
      <c r="H836" s="7"/>
      <c r="I836" s="287"/>
      <c r="J836" s="287"/>
      <c r="K836" s="28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</row>
    <row r="837" ht="18.0" customHeight="1">
      <c r="A837" s="287"/>
      <c r="B837" s="373"/>
      <c r="C837" s="287"/>
      <c r="D837" s="285"/>
      <c r="E837" s="287"/>
      <c r="F837" s="7"/>
      <c r="G837" s="287"/>
      <c r="H837" s="7"/>
      <c r="I837" s="287"/>
      <c r="J837" s="287"/>
      <c r="K837" s="28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</row>
    <row r="838" ht="18.0" customHeight="1">
      <c r="A838" s="287"/>
      <c r="B838" s="373"/>
      <c r="C838" s="287"/>
      <c r="D838" s="285"/>
      <c r="E838" s="287"/>
      <c r="F838" s="7"/>
      <c r="G838" s="287"/>
      <c r="H838" s="7"/>
      <c r="I838" s="287"/>
      <c r="J838" s="287"/>
      <c r="K838" s="28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</row>
    <row r="839" ht="18.0" customHeight="1">
      <c r="A839" s="287"/>
      <c r="B839" s="373"/>
      <c r="C839" s="287"/>
      <c r="D839" s="285"/>
      <c r="E839" s="287"/>
      <c r="F839" s="7"/>
      <c r="G839" s="287"/>
      <c r="H839" s="7"/>
      <c r="I839" s="287"/>
      <c r="J839" s="287"/>
      <c r="K839" s="28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</row>
    <row r="840" ht="18.0" customHeight="1">
      <c r="A840" s="287"/>
      <c r="B840" s="373"/>
      <c r="C840" s="287"/>
      <c r="D840" s="285"/>
      <c r="E840" s="287"/>
      <c r="F840" s="7"/>
      <c r="G840" s="287"/>
      <c r="H840" s="7"/>
      <c r="I840" s="287"/>
      <c r="J840" s="287"/>
      <c r="K840" s="28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</row>
    <row r="841" ht="18.0" customHeight="1">
      <c r="A841" s="287"/>
      <c r="B841" s="373"/>
      <c r="C841" s="287"/>
      <c r="D841" s="285"/>
      <c r="E841" s="287"/>
      <c r="F841" s="7"/>
      <c r="G841" s="287"/>
      <c r="H841" s="7"/>
      <c r="I841" s="287"/>
      <c r="J841" s="287"/>
      <c r="K841" s="28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</row>
    <row r="842" ht="18.0" customHeight="1">
      <c r="A842" s="287"/>
      <c r="B842" s="373"/>
      <c r="C842" s="287"/>
      <c r="D842" s="285"/>
      <c r="E842" s="287"/>
      <c r="F842" s="7"/>
      <c r="G842" s="287"/>
      <c r="H842" s="7"/>
      <c r="I842" s="287"/>
      <c r="J842" s="287"/>
      <c r="K842" s="28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</row>
    <row r="843" ht="18.0" customHeight="1">
      <c r="A843" s="287"/>
      <c r="B843" s="373"/>
      <c r="C843" s="287"/>
      <c r="D843" s="285"/>
      <c r="E843" s="287"/>
      <c r="F843" s="7"/>
      <c r="G843" s="287"/>
      <c r="H843" s="7"/>
      <c r="I843" s="287"/>
      <c r="J843" s="287"/>
      <c r="K843" s="28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</row>
    <row r="844" ht="18.0" customHeight="1">
      <c r="A844" s="287"/>
      <c r="B844" s="373"/>
      <c r="C844" s="287"/>
      <c r="D844" s="285"/>
      <c r="E844" s="287"/>
      <c r="F844" s="7"/>
      <c r="G844" s="287"/>
      <c r="H844" s="7"/>
      <c r="I844" s="287"/>
      <c r="J844" s="287"/>
      <c r="K844" s="28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</row>
    <row r="845" ht="18.0" customHeight="1">
      <c r="A845" s="287"/>
      <c r="B845" s="373"/>
      <c r="C845" s="287"/>
      <c r="D845" s="285"/>
      <c r="E845" s="287"/>
      <c r="F845" s="7"/>
      <c r="G845" s="287"/>
      <c r="H845" s="7"/>
      <c r="I845" s="287"/>
      <c r="J845" s="287"/>
      <c r="K845" s="28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</row>
    <row r="846" ht="18.0" customHeight="1">
      <c r="A846" s="287"/>
      <c r="B846" s="373"/>
      <c r="C846" s="287"/>
      <c r="D846" s="285"/>
      <c r="E846" s="287"/>
      <c r="F846" s="7"/>
      <c r="G846" s="287"/>
      <c r="H846" s="7"/>
      <c r="I846" s="287"/>
      <c r="J846" s="287"/>
      <c r="K846" s="28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</row>
    <row r="847" ht="18.0" customHeight="1">
      <c r="A847" s="287"/>
      <c r="B847" s="373"/>
      <c r="C847" s="287"/>
      <c r="D847" s="285"/>
      <c r="E847" s="287"/>
      <c r="F847" s="7"/>
      <c r="G847" s="287"/>
      <c r="H847" s="7"/>
      <c r="I847" s="287"/>
      <c r="J847" s="287"/>
      <c r="K847" s="28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</row>
    <row r="848" ht="18.0" customHeight="1">
      <c r="A848" s="287"/>
      <c r="B848" s="373"/>
      <c r="C848" s="287"/>
      <c r="D848" s="285"/>
      <c r="E848" s="287"/>
      <c r="F848" s="7"/>
      <c r="G848" s="287"/>
      <c r="H848" s="7"/>
      <c r="I848" s="287"/>
      <c r="J848" s="287"/>
      <c r="K848" s="28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</row>
    <row r="849" ht="18.0" customHeight="1">
      <c r="A849" s="287"/>
      <c r="B849" s="373"/>
      <c r="C849" s="287"/>
      <c r="D849" s="285"/>
      <c r="E849" s="287"/>
      <c r="F849" s="7"/>
      <c r="G849" s="287"/>
      <c r="H849" s="7"/>
      <c r="I849" s="287"/>
      <c r="J849" s="287"/>
      <c r="K849" s="28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</row>
    <row r="850" ht="18.0" customHeight="1">
      <c r="A850" s="287"/>
      <c r="B850" s="373"/>
      <c r="C850" s="287"/>
      <c r="D850" s="285"/>
      <c r="E850" s="287"/>
      <c r="F850" s="7"/>
      <c r="G850" s="287"/>
      <c r="H850" s="7"/>
      <c r="I850" s="287"/>
      <c r="J850" s="287"/>
      <c r="K850" s="28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</row>
    <row r="851" ht="18.0" customHeight="1">
      <c r="A851" s="287"/>
      <c r="B851" s="373"/>
      <c r="C851" s="287"/>
      <c r="D851" s="285"/>
      <c r="E851" s="287"/>
      <c r="F851" s="7"/>
      <c r="G851" s="287"/>
      <c r="H851" s="7"/>
      <c r="I851" s="287"/>
      <c r="J851" s="287"/>
      <c r="K851" s="28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</row>
    <row r="852" ht="18.0" customHeight="1">
      <c r="A852" s="287"/>
      <c r="B852" s="373"/>
      <c r="C852" s="287"/>
      <c r="D852" s="285"/>
      <c r="E852" s="287"/>
      <c r="F852" s="7"/>
      <c r="G852" s="287"/>
      <c r="H852" s="7"/>
      <c r="I852" s="287"/>
      <c r="J852" s="287"/>
      <c r="K852" s="28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</row>
    <row r="853" ht="18.0" customHeight="1">
      <c r="A853" s="287"/>
      <c r="B853" s="373"/>
      <c r="C853" s="287"/>
      <c r="D853" s="285"/>
      <c r="E853" s="287"/>
      <c r="F853" s="7"/>
      <c r="G853" s="287"/>
      <c r="H853" s="7"/>
      <c r="I853" s="287"/>
      <c r="J853" s="287"/>
      <c r="K853" s="28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</row>
    <row r="854" ht="18.0" customHeight="1">
      <c r="A854" s="287"/>
      <c r="B854" s="373"/>
      <c r="C854" s="287"/>
      <c r="D854" s="285"/>
      <c r="E854" s="287"/>
      <c r="F854" s="7"/>
      <c r="G854" s="287"/>
      <c r="H854" s="7"/>
      <c r="I854" s="287"/>
      <c r="J854" s="287"/>
      <c r="K854" s="28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</row>
    <row r="855" ht="18.0" customHeight="1">
      <c r="A855" s="287"/>
      <c r="B855" s="373"/>
      <c r="C855" s="287"/>
      <c r="D855" s="285"/>
      <c r="E855" s="287"/>
      <c r="F855" s="7"/>
      <c r="G855" s="287"/>
      <c r="H855" s="7"/>
      <c r="I855" s="287"/>
      <c r="J855" s="287"/>
      <c r="K855" s="28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</row>
    <row r="856" ht="18.0" customHeight="1">
      <c r="A856" s="287"/>
      <c r="B856" s="373"/>
      <c r="C856" s="287"/>
      <c r="D856" s="285"/>
      <c r="E856" s="287"/>
      <c r="F856" s="7"/>
      <c r="G856" s="287"/>
      <c r="H856" s="7"/>
      <c r="I856" s="287"/>
      <c r="J856" s="287"/>
      <c r="K856" s="28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</row>
    <row r="857" ht="18.0" customHeight="1">
      <c r="A857" s="287"/>
      <c r="B857" s="373"/>
      <c r="C857" s="287"/>
      <c r="D857" s="285"/>
      <c r="E857" s="287"/>
      <c r="F857" s="7"/>
      <c r="G857" s="287"/>
      <c r="H857" s="7"/>
      <c r="I857" s="287"/>
      <c r="J857" s="287"/>
      <c r="K857" s="28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</row>
    <row r="858" ht="18.0" customHeight="1">
      <c r="A858" s="287"/>
      <c r="B858" s="373"/>
      <c r="C858" s="287"/>
      <c r="D858" s="285"/>
      <c r="E858" s="287"/>
      <c r="F858" s="7"/>
      <c r="G858" s="287"/>
      <c r="H858" s="7"/>
      <c r="I858" s="287"/>
      <c r="J858" s="287"/>
      <c r="K858" s="28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</row>
    <row r="859" ht="18.0" customHeight="1">
      <c r="A859" s="287"/>
      <c r="B859" s="373"/>
      <c r="C859" s="287"/>
      <c r="D859" s="285"/>
      <c r="E859" s="287"/>
      <c r="F859" s="7"/>
      <c r="G859" s="287"/>
      <c r="H859" s="7"/>
      <c r="I859" s="287"/>
      <c r="J859" s="287"/>
      <c r="K859" s="28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</row>
    <row r="860" ht="18.0" customHeight="1">
      <c r="A860" s="287"/>
      <c r="B860" s="373"/>
      <c r="C860" s="287"/>
      <c r="D860" s="285"/>
      <c r="E860" s="287"/>
      <c r="F860" s="7"/>
      <c r="G860" s="287"/>
      <c r="H860" s="7"/>
      <c r="I860" s="287"/>
      <c r="J860" s="287"/>
      <c r="K860" s="28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</row>
    <row r="861" ht="18.0" customHeight="1">
      <c r="A861" s="287"/>
      <c r="B861" s="373"/>
      <c r="C861" s="287"/>
      <c r="D861" s="285"/>
      <c r="E861" s="287"/>
      <c r="F861" s="7"/>
      <c r="G861" s="287"/>
      <c r="H861" s="7"/>
      <c r="I861" s="287"/>
      <c r="J861" s="287"/>
      <c r="K861" s="28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</row>
    <row r="862" ht="18.0" customHeight="1">
      <c r="A862" s="287"/>
      <c r="B862" s="373"/>
      <c r="C862" s="287"/>
      <c r="D862" s="285"/>
      <c r="E862" s="287"/>
      <c r="F862" s="7"/>
      <c r="G862" s="287"/>
      <c r="H862" s="7"/>
      <c r="I862" s="287"/>
      <c r="J862" s="287"/>
      <c r="K862" s="28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</row>
    <row r="863" ht="18.0" customHeight="1">
      <c r="A863" s="287"/>
      <c r="B863" s="373"/>
      <c r="C863" s="287"/>
      <c r="D863" s="285"/>
      <c r="E863" s="287"/>
      <c r="F863" s="7"/>
      <c r="G863" s="287"/>
      <c r="H863" s="7"/>
      <c r="I863" s="287"/>
      <c r="J863" s="287"/>
      <c r="K863" s="28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</row>
    <row r="864" ht="18.0" customHeight="1">
      <c r="A864" s="287"/>
      <c r="B864" s="373"/>
      <c r="C864" s="287"/>
      <c r="D864" s="285"/>
      <c r="E864" s="287"/>
      <c r="F864" s="7"/>
      <c r="G864" s="287"/>
      <c r="H864" s="7"/>
      <c r="I864" s="287"/>
      <c r="J864" s="287"/>
      <c r="K864" s="28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</row>
    <row r="865" ht="18.0" customHeight="1">
      <c r="A865" s="287"/>
      <c r="B865" s="373"/>
      <c r="C865" s="287"/>
      <c r="D865" s="285"/>
      <c r="E865" s="287"/>
      <c r="F865" s="7"/>
      <c r="G865" s="287"/>
      <c r="H865" s="7"/>
      <c r="I865" s="287"/>
      <c r="J865" s="287"/>
      <c r="K865" s="28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</row>
    <row r="866" ht="18.0" customHeight="1">
      <c r="A866" s="287"/>
      <c r="B866" s="373"/>
      <c r="C866" s="287"/>
      <c r="D866" s="285"/>
      <c r="E866" s="287"/>
      <c r="F866" s="7"/>
      <c r="G866" s="287"/>
      <c r="H866" s="7"/>
      <c r="I866" s="287"/>
      <c r="J866" s="287"/>
      <c r="K866" s="28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</row>
    <row r="867" ht="18.0" customHeight="1">
      <c r="A867" s="287"/>
      <c r="B867" s="373"/>
      <c r="C867" s="287"/>
      <c r="D867" s="285"/>
      <c r="E867" s="287"/>
      <c r="F867" s="7"/>
      <c r="G867" s="287"/>
      <c r="H867" s="7"/>
      <c r="I867" s="287"/>
      <c r="J867" s="287"/>
      <c r="K867" s="28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</row>
    <row r="868" ht="18.0" customHeight="1">
      <c r="A868" s="287"/>
      <c r="B868" s="373"/>
      <c r="C868" s="287"/>
      <c r="D868" s="285"/>
      <c r="E868" s="287"/>
      <c r="F868" s="7"/>
      <c r="G868" s="287"/>
      <c r="H868" s="7"/>
      <c r="I868" s="287"/>
      <c r="J868" s="287"/>
      <c r="K868" s="28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</row>
    <row r="869" ht="18.0" customHeight="1">
      <c r="A869" s="287"/>
      <c r="B869" s="373"/>
      <c r="C869" s="287"/>
      <c r="D869" s="285"/>
      <c r="E869" s="287"/>
      <c r="F869" s="7"/>
      <c r="G869" s="287"/>
      <c r="H869" s="7"/>
      <c r="I869" s="287"/>
      <c r="J869" s="287"/>
      <c r="K869" s="28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</row>
    <row r="870" ht="18.0" customHeight="1">
      <c r="A870" s="287"/>
      <c r="B870" s="373"/>
      <c r="C870" s="287"/>
      <c r="D870" s="285"/>
      <c r="E870" s="287"/>
      <c r="F870" s="7"/>
      <c r="G870" s="287"/>
      <c r="H870" s="7"/>
      <c r="I870" s="287"/>
      <c r="J870" s="287"/>
      <c r="K870" s="28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</row>
    <row r="871" ht="18.0" customHeight="1">
      <c r="A871" s="287"/>
      <c r="B871" s="373"/>
      <c r="C871" s="287"/>
      <c r="D871" s="285"/>
      <c r="E871" s="287"/>
      <c r="F871" s="7"/>
      <c r="G871" s="287"/>
      <c r="H871" s="7"/>
      <c r="I871" s="287"/>
      <c r="J871" s="287"/>
      <c r="K871" s="28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</row>
    <row r="872" ht="18.0" customHeight="1">
      <c r="A872" s="287"/>
      <c r="B872" s="373"/>
      <c r="C872" s="287"/>
      <c r="D872" s="285"/>
      <c r="E872" s="287"/>
      <c r="F872" s="7"/>
      <c r="G872" s="287"/>
      <c r="H872" s="7"/>
      <c r="I872" s="287"/>
      <c r="J872" s="287"/>
      <c r="K872" s="28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</row>
    <row r="873" ht="18.0" customHeight="1">
      <c r="A873" s="287"/>
      <c r="B873" s="373"/>
      <c r="C873" s="287"/>
      <c r="D873" s="285"/>
      <c r="E873" s="287"/>
      <c r="F873" s="7"/>
      <c r="G873" s="287"/>
      <c r="H873" s="7"/>
      <c r="I873" s="287"/>
      <c r="J873" s="287"/>
      <c r="K873" s="28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</row>
    <row r="874" ht="18.0" customHeight="1">
      <c r="A874" s="287"/>
      <c r="B874" s="373"/>
      <c r="C874" s="287"/>
      <c r="D874" s="285"/>
      <c r="E874" s="287"/>
      <c r="F874" s="7"/>
      <c r="G874" s="287"/>
      <c r="H874" s="7"/>
      <c r="I874" s="287"/>
      <c r="J874" s="287"/>
      <c r="K874" s="28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</row>
    <row r="875" ht="18.0" customHeight="1">
      <c r="A875" s="287"/>
      <c r="B875" s="373"/>
      <c r="C875" s="287"/>
      <c r="D875" s="285"/>
      <c r="E875" s="287"/>
      <c r="F875" s="7"/>
      <c r="G875" s="287"/>
      <c r="H875" s="7"/>
      <c r="I875" s="287"/>
      <c r="J875" s="287"/>
      <c r="K875" s="28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</row>
    <row r="876" ht="18.0" customHeight="1">
      <c r="A876" s="287"/>
      <c r="B876" s="373"/>
      <c r="C876" s="287"/>
      <c r="D876" s="285"/>
      <c r="E876" s="287"/>
      <c r="F876" s="7"/>
      <c r="G876" s="287"/>
      <c r="H876" s="7"/>
      <c r="I876" s="287"/>
      <c r="J876" s="287"/>
      <c r="K876" s="28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</row>
    <row r="877" ht="18.0" customHeight="1">
      <c r="A877" s="287"/>
      <c r="B877" s="373"/>
      <c r="C877" s="287"/>
      <c r="D877" s="285"/>
      <c r="E877" s="287"/>
      <c r="F877" s="7"/>
      <c r="G877" s="287"/>
      <c r="H877" s="7"/>
      <c r="I877" s="287"/>
      <c r="J877" s="287"/>
      <c r="K877" s="28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</row>
    <row r="878" ht="18.0" customHeight="1">
      <c r="A878" s="287"/>
      <c r="B878" s="373"/>
      <c r="C878" s="287"/>
      <c r="D878" s="285"/>
      <c r="E878" s="287"/>
      <c r="F878" s="7"/>
      <c r="G878" s="287"/>
      <c r="H878" s="7"/>
      <c r="I878" s="287"/>
      <c r="J878" s="287"/>
      <c r="K878" s="28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</row>
    <row r="879" ht="18.0" customHeight="1">
      <c r="A879" s="287"/>
      <c r="B879" s="373"/>
      <c r="C879" s="287"/>
      <c r="D879" s="285"/>
      <c r="E879" s="287"/>
      <c r="F879" s="7"/>
      <c r="G879" s="287"/>
      <c r="H879" s="7"/>
      <c r="I879" s="287"/>
      <c r="J879" s="287"/>
      <c r="K879" s="28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</row>
    <row r="880" ht="18.0" customHeight="1">
      <c r="A880" s="287"/>
      <c r="B880" s="373"/>
      <c r="C880" s="287"/>
      <c r="D880" s="285"/>
      <c r="E880" s="287"/>
      <c r="F880" s="7"/>
      <c r="G880" s="287"/>
      <c r="H880" s="7"/>
      <c r="I880" s="287"/>
      <c r="J880" s="287"/>
      <c r="K880" s="28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</row>
    <row r="881" ht="18.0" customHeight="1">
      <c r="A881" s="287"/>
      <c r="B881" s="373"/>
      <c r="C881" s="287"/>
      <c r="D881" s="285"/>
      <c r="E881" s="287"/>
      <c r="F881" s="7"/>
      <c r="G881" s="287"/>
      <c r="H881" s="7"/>
      <c r="I881" s="287"/>
      <c r="J881" s="287"/>
      <c r="K881" s="28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</row>
    <row r="882" ht="18.0" customHeight="1">
      <c r="A882" s="287"/>
      <c r="B882" s="373"/>
      <c r="C882" s="287"/>
      <c r="D882" s="285"/>
      <c r="E882" s="287"/>
      <c r="F882" s="7"/>
      <c r="G882" s="287"/>
      <c r="H882" s="7"/>
      <c r="I882" s="287"/>
      <c r="J882" s="287"/>
      <c r="K882" s="28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</row>
    <row r="883" ht="18.0" customHeight="1">
      <c r="A883" s="287"/>
      <c r="B883" s="373"/>
      <c r="C883" s="287"/>
      <c r="D883" s="285"/>
      <c r="E883" s="287"/>
      <c r="F883" s="7"/>
      <c r="G883" s="287"/>
      <c r="H883" s="7"/>
      <c r="I883" s="287"/>
      <c r="J883" s="287"/>
      <c r="K883" s="28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</row>
    <row r="884" ht="18.0" customHeight="1">
      <c r="A884" s="287"/>
      <c r="B884" s="373"/>
      <c r="C884" s="287"/>
      <c r="D884" s="285"/>
      <c r="E884" s="287"/>
      <c r="F884" s="7"/>
      <c r="G884" s="287"/>
      <c r="H884" s="7"/>
      <c r="I884" s="287"/>
      <c r="J884" s="287"/>
      <c r="K884" s="28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</row>
    <row r="885" ht="18.0" customHeight="1">
      <c r="A885" s="287"/>
      <c r="B885" s="373"/>
      <c r="C885" s="287"/>
      <c r="D885" s="285"/>
      <c r="E885" s="287"/>
      <c r="F885" s="7"/>
      <c r="G885" s="287"/>
      <c r="H885" s="7"/>
      <c r="I885" s="287"/>
      <c r="J885" s="287"/>
      <c r="K885" s="28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</row>
    <row r="886" ht="18.0" customHeight="1">
      <c r="A886" s="287"/>
      <c r="B886" s="373"/>
      <c r="C886" s="287"/>
      <c r="D886" s="285"/>
      <c r="E886" s="287"/>
      <c r="F886" s="7"/>
      <c r="G886" s="287"/>
      <c r="H886" s="7"/>
      <c r="I886" s="287"/>
      <c r="J886" s="287"/>
      <c r="K886" s="28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</row>
    <row r="887" ht="18.0" customHeight="1">
      <c r="A887" s="287"/>
      <c r="B887" s="373"/>
      <c r="C887" s="287"/>
      <c r="D887" s="285"/>
      <c r="E887" s="287"/>
      <c r="F887" s="7"/>
      <c r="G887" s="287"/>
      <c r="H887" s="7"/>
      <c r="I887" s="287"/>
      <c r="J887" s="287"/>
      <c r="K887" s="28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</row>
    <row r="888" ht="18.0" customHeight="1">
      <c r="A888" s="287"/>
      <c r="B888" s="373"/>
      <c r="C888" s="287"/>
      <c r="D888" s="285"/>
      <c r="E888" s="287"/>
      <c r="F888" s="7"/>
      <c r="G888" s="287"/>
      <c r="H888" s="7"/>
      <c r="I888" s="287"/>
      <c r="J888" s="287"/>
      <c r="K888" s="28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</row>
    <row r="889" ht="18.0" customHeight="1">
      <c r="A889" s="287"/>
      <c r="B889" s="373"/>
      <c r="C889" s="287"/>
      <c r="D889" s="285"/>
      <c r="E889" s="287"/>
      <c r="F889" s="7"/>
      <c r="G889" s="287"/>
      <c r="H889" s="7"/>
      <c r="I889" s="287"/>
      <c r="J889" s="287"/>
      <c r="K889" s="28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</row>
    <row r="890" ht="18.0" customHeight="1">
      <c r="A890" s="287"/>
      <c r="B890" s="373"/>
      <c r="C890" s="287"/>
      <c r="D890" s="285"/>
      <c r="E890" s="287"/>
      <c r="F890" s="7"/>
      <c r="G890" s="287"/>
      <c r="H890" s="7"/>
      <c r="I890" s="287"/>
      <c r="J890" s="287"/>
      <c r="K890" s="28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</row>
    <row r="891" ht="18.0" customHeight="1">
      <c r="A891" s="287"/>
      <c r="B891" s="373"/>
      <c r="C891" s="287"/>
      <c r="D891" s="285"/>
      <c r="E891" s="287"/>
      <c r="F891" s="7"/>
      <c r="G891" s="287"/>
      <c r="H891" s="7"/>
      <c r="I891" s="287"/>
      <c r="J891" s="287"/>
      <c r="K891" s="28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</row>
    <row r="892" ht="18.0" customHeight="1">
      <c r="A892" s="287"/>
      <c r="B892" s="373"/>
      <c r="C892" s="287"/>
      <c r="D892" s="285"/>
      <c r="E892" s="287"/>
      <c r="F892" s="7"/>
      <c r="G892" s="287"/>
      <c r="H892" s="7"/>
      <c r="I892" s="287"/>
      <c r="J892" s="287"/>
      <c r="K892" s="28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</row>
    <row r="893" ht="18.0" customHeight="1">
      <c r="A893" s="287"/>
      <c r="B893" s="373"/>
      <c r="C893" s="287"/>
      <c r="D893" s="285"/>
      <c r="E893" s="287"/>
      <c r="F893" s="7"/>
      <c r="G893" s="287"/>
      <c r="H893" s="7"/>
      <c r="I893" s="287"/>
      <c r="J893" s="287"/>
      <c r="K893" s="28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</row>
    <row r="894" ht="18.0" customHeight="1">
      <c r="A894" s="287"/>
      <c r="B894" s="373"/>
      <c r="C894" s="287"/>
      <c r="D894" s="285"/>
      <c r="E894" s="287"/>
      <c r="F894" s="7"/>
      <c r="G894" s="287"/>
      <c r="H894" s="7"/>
      <c r="I894" s="287"/>
      <c r="J894" s="287"/>
      <c r="K894" s="28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</row>
    <row r="895" ht="18.0" customHeight="1">
      <c r="A895" s="287"/>
      <c r="B895" s="373"/>
      <c r="C895" s="287"/>
      <c r="D895" s="285"/>
      <c r="E895" s="287"/>
      <c r="F895" s="7"/>
      <c r="G895" s="287"/>
      <c r="H895" s="7"/>
      <c r="I895" s="287"/>
      <c r="J895" s="287"/>
      <c r="K895" s="28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</row>
    <row r="896" ht="18.0" customHeight="1">
      <c r="A896" s="287"/>
      <c r="B896" s="373"/>
      <c r="C896" s="287"/>
      <c r="D896" s="285"/>
      <c r="E896" s="287"/>
      <c r="F896" s="7"/>
      <c r="G896" s="287"/>
      <c r="H896" s="7"/>
      <c r="I896" s="287"/>
      <c r="J896" s="287"/>
      <c r="K896" s="28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</row>
    <row r="897" ht="18.0" customHeight="1">
      <c r="A897" s="287"/>
      <c r="B897" s="373"/>
      <c r="C897" s="287"/>
      <c r="D897" s="285"/>
      <c r="E897" s="287"/>
      <c r="F897" s="7"/>
      <c r="G897" s="287"/>
      <c r="H897" s="7"/>
      <c r="I897" s="287"/>
      <c r="J897" s="287"/>
      <c r="K897" s="28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</row>
    <row r="898" ht="18.0" customHeight="1">
      <c r="A898" s="287"/>
      <c r="B898" s="373"/>
      <c r="C898" s="287"/>
      <c r="D898" s="285"/>
      <c r="E898" s="287"/>
      <c r="F898" s="7"/>
      <c r="G898" s="287"/>
      <c r="H898" s="7"/>
      <c r="I898" s="287"/>
      <c r="J898" s="287"/>
      <c r="K898" s="28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</row>
    <row r="899" ht="18.0" customHeight="1">
      <c r="A899" s="287"/>
      <c r="B899" s="373"/>
      <c r="C899" s="287"/>
      <c r="D899" s="285"/>
      <c r="E899" s="287"/>
      <c r="F899" s="7"/>
      <c r="G899" s="287"/>
      <c r="H899" s="7"/>
      <c r="I899" s="287"/>
      <c r="J899" s="287"/>
      <c r="K899" s="28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</row>
    <row r="900" ht="18.0" customHeight="1">
      <c r="A900" s="287"/>
      <c r="B900" s="373"/>
      <c r="C900" s="287"/>
      <c r="D900" s="285"/>
      <c r="E900" s="287"/>
      <c r="F900" s="7"/>
      <c r="G900" s="287"/>
      <c r="H900" s="7"/>
      <c r="I900" s="287"/>
      <c r="J900" s="287"/>
      <c r="K900" s="28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</row>
    <row r="901" ht="18.0" customHeight="1">
      <c r="A901" s="287"/>
      <c r="B901" s="373"/>
      <c r="C901" s="287"/>
      <c r="D901" s="285"/>
      <c r="E901" s="287"/>
      <c r="F901" s="7"/>
      <c r="G901" s="287"/>
      <c r="H901" s="7"/>
      <c r="I901" s="287"/>
      <c r="J901" s="287"/>
      <c r="K901" s="28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</row>
    <row r="902" ht="18.0" customHeight="1">
      <c r="A902" s="287"/>
      <c r="B902" s="373"/>
      <c r="C902" s="287"/>
      <c r="D902" s="285"/>
      <c r="E902" s="287"/>
      <c r="F902" s="7"/>
      <c r="G902" s="287"/>
      <c r="H902" s="7"/>
      <c r="I902" s="287"/>
      <c r="J902" s="287"/>
      <c r="K902" s="28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</row>
    <row r="903" ht="18.0" customHeight="1">
      <c r="A903" s="287"/>
      <c r="B903" s="373"/>
      <c r="C903" s="287"/>
      <c r="D903" s="285"/>
      <c r="E903" s="287"/>
      <c r="F903" s="7"/>
      <c r="G903" s="287"/>
      <c r="H903" s="7"/>
      <c r="I903" s="287"/>
      <c r="J903" s="287"/>
      <c r="K903" s="28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</row>
    <row r="904" ht="18.0" customHeight="1">
      <c r="A904" s="287"/>
      <c r="B904" s="373"/>
      <c r="C904" s="287"/>
      <c r="D904" s="285"/>
      <c r="E904" s="287"/>
      <c r="F904" s="7"/>
      <c r="G904" s="287"/>
      <c r="H904" s="7"/>
      <c r="I904" s="287"/>
      <c r="J904" s="287"/>
      <c r="K904" s="28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</row>
    <row r="905" ht="18.0" customHeight="1">
      <c r="A905" s="287"/>
      <c r="B905" s="373"/>
      <c r="C905" s="287"/>
      <c r="D905" s="285"/>
      <c r="E905" s="287"/>
      <c r="F905" s="7"/>
      <c r="G905" s="287"/>
      <c r="H905" s="7"/>
      <c r="I905" s="287"/>
      <c r="J905" s="287"/>
      <c r="K905" s="28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</row>
    <row r="906" ht="18.0" customHeight="1">
      <c r="A906" s="287"/>
      <c r="B906" s="373"/>
      <c r="C906" s="287"/>
      <c r="D906" s="285"/>
      <c r="E906" s="287"/>
      <c r="F906" s="7"/>
      <c r="G906" s="287"/>
      <c r="H906" s="7"/>
      <c r="I906" s="287"/>
      <c r="J906" s="287"/>
      <c r="K906" s="28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</row>
    <row r="907" ht="18.0" customHeight="1">
      <c r="A907" s="287"/>
      <c r="B907" s="373"/>
      <c r="C907" s="287"/>
      <c r="D907" s="285"/>
      <c r="E907" s="287"/>
      <c r="F907" s="7"/>
      <c r="G907" s="287"/>
      <c r="H907" s="7"/>
      <c r="I907" s="287"/>
      <c r="J907" s="287"/>
      <c r="K907" s="28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</row>
    <row r="908" ht="18.0" customHeight="1">
      <c r="A908" s="287"/>
      <c r="B908" s="373"/>
      <c r="C908" s="287"/>
      <c r="D908" s="285"/>
      <c r="E908" s="287"/>
      <c r="F908" s="7"/>
      <c r="G908" s="287"/>
      <c r="H908" s="7"/>
      <c r="I908" s="287"/>
      <c r="J908" s="287"/>
      <c r="K908" s="28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</row>
    <row r="909" ht="18.0" customHeight="1">
      <c r="A909" s="287"/>
      <c r="B909" s="373"/>
      <c r="C909" s="287"/>
      <c r="D909" s="285"/>
      <c r="E909" s="287"/>
      <c r="F909" s="7"/>
      <c r="G909" s="287"/>
      <c r="H909" s="7"/>
      <c r="I909" s="287"/>
      <c r="J909" s="287"/>
      <c r="K909" s="28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</row>
    <row r="910" ht="18.0" customHeight="1">
      <c r="A910" s="287"/>
      <c r="B910" s="373"/>
      <c r="C910" s="287"/>
      <c r="D910" s="285"/>
      <c r="E910" s="287"/>
      <c r="F910" s="7"/>
      <c r="G910" s="287"/>
      <c r="H910" s="7"/>
      <c r="I910" s="287"/>
      <c r="J910" s="287"/>
      <c r="K910" s="28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</row>
    <row r="911" ht="18.0" customHeight="1">
      <c r="A911" s="287"/>
      <c r="B911" s="373"/>
      <c r="C911" s="287"/>
      <c r="D911" s="285"/>
      <c r="E911" s="287"/>
      <c r="F911" s="7"/>
      <c r="G911" s="287"/>
      <c r="H911" s="7"/>
      <c r="I911" s="287"/>
      <c r="J911" s="287"/>
      <c r="K911" s="28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</row>
    <row r="912" ht="18.0" customHeight="1">
      <c r="A912" s="287"/>
      <c r="B912" s="373"/>
      <c r="C912" s="287"/>
      <c r="D912" s="285"/>
      <c r="E912" s="287"/>
      <c r="F912" s="7"/>
      <c r="G912" s="287"/>
      <c r="H912" s="7"/>
      <c r="I912" s="287"/>
      <c r="J912" s="287"/>
      <c r="K912" s="28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</row>
    <row r="913" ht="18.0" customHeight="1">
      <c r="A913" s="287"/>
      <c r="B913" s="373"/>
      <c r="C913" s="287"/>
      <c r="D913" s="285"/>
      <c r="E913" s="287"/>
      <c r="F913" s="7"/>
      <c r="G913" s="287"/>
      <c r="H913" s="7"/>
      <c r="I913" s="287"/>
      <c r="J913" s="287"/>
      <c r="K913" s="28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</row>
    <row r="914" ht="18.0" customHeight="1">
      <c r="A914" s="287"/>
      <c r="B914" s="373"/>
      <c r="C914" s="287"/>
      <c r="D914" s="285"/>
      <c r="E914" s="287"/>
      <c r="F914" s="7"/>
      <c r="G914" s="287"/>
      <c r="H914" s="7"/>
      <c r="I914" s="287"/>
      <c r="J914" s="287"/>
      <c r="K914" s="28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</row>
    <row r="915" ht="18.0" customHeight="1">
      <c r="A915" s="287"/>
      <c r="B915" s="373"/>
      <c r="C915" s="287"/>
      <c r="D915" s="285"/>
      <c r="E915" s="287"/>
      <c r="F915" s="7"/>
      <c r="G915" s="287"/>
      <c r="H915" s="7"/>
      <c r="I915" s="287"/>
      <c r="J915" s="287"/>
      <c r="K915" s="28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</row>
    <row r="916" ht="18.0" customHeight="1">
      <c r="A916" s="287"/>
      <c r="B916" s="373"/>
      <c r="C916" s="287"/>
      <c r="D916" s="285"/>
      <c r="E916" s="287"/>
      <c r="F916" s="7"/>
      <c r="G916" s="287"/>
      <c r="H916" s="7"/>
      <c r="I916" s="287"/>
      <c r="J916" s="287"/>
      <c r="K916" s="28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</row>
    <row r="917" ht="18.0" customHeight="1">
      <c r="A917" s="287"/>
      <c r="B917" s="373"/>
      <c r="C917" s="287"/>
      <c r="D917" s="285"/>
      <c r="E917" s="287"/>
      <c r="F917" s="7"/>
      <c r="G917" s="287"/>
      <c r="H917" s="7"/>
      <c r="I917" s="287"/>
      <c r="J917" s="287"/>
      <c r="K917" s="28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</row>
    <row r="918" ht="18.0" customHeight="1">
      <c r="A918" s="287"/>
      <c r="B918" s="373"/>
      <c r="C918" s="287"/>
      <c r="D918" s="285"/>
      <c r="E918" s="287"/>
      <c r="F918" s="7"/>
      <c r="G918" s="287"/>
      <c r="H918" s="7"/>
      <c r="I918" s="287"/>
      <c r="J918" s="287"/>
      <c r="K918" s="28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</row>
    <row r="919" ht="18.0" customHeight="1">
      <c r="A919" s="287"/>
      <c r="B919" s="373"/>
      <c r="C919" s="287"/>
      <c r="D919" s="285"/>
      <c r="E919" s="287"/>
      <c r="F919" s="7"/>
      <c r="G919" s="287"/>
      <c r="H919" s="7"/>
      <c r="I919" s="287"/>
      <c r="J919" s="287"/>
      <c r="K919" s="28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</row>
    <row r="920" ht="18.0" customHeight="1">
      <c r="A920" s="287"/>
      <c r="B920" s="373"/>
      <c r="C920" s="287"/>
      <c r="D920" s="285"/>
      <c r="E920" s="287"/>
      <c r="F920" s="7"/>
      <c r="G920" s="287"/>
      <c r="H920" s="7"/>
      <c r="I920" s="287"/>
      <c r="J920" s="287"/>
      <c r="K920" s="28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</row>
    <row r="921" ht="18.0" customHeight="1">
      <c r="A921" s="287"/>
      <c r="B921" s="373"/>
      <c r="C921" s="287"/>
      <c r="D921" s="285"/>
      <c r="E921" s="287"/>
      <c r="F921" s="7"/>
      <c r="G921" s="287"/>
      <c r="H921" s="7"/>
      <c r="I921" s="287"/>
      <c r="J921" s="287"/>
      <c r="K921" s="28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</row>
    <row r="922" ht="18.0" customHeight="1">
      <c r="A922" s="287"/>
      <c r="B922" s="373"/>
      <c r="C922" s="287"/>
      <c r="D922" s="285"/>
      <c r="E922" s="287"/>
      <c r="F922" s="7"/>
      <c r="G922" s="287"/>
      <c r="H922" s="7"/>
      <c r="I922" s="287"/>
      <c r="J922" s="287"/>
      <c r="K922" s="28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</row>
    <row r="923" ht="18.0" customHeight="1">
      <c r="A923" s="287"/>
      <c r="B923" s="373"/>
      <c r="C923" s="287"/>
      <c r="D923" s="285"/>
      <c r="E923" s="287"/>
      <c r="F923" s="7"/>
      <c r="G923" s="287"/>
      <c r="H923" s="7"/>
      <c r="I923" s="287"/>
      <c r="J923" s="287"/>
      <c r="K923" s="28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</row>
    <row r="924" ht="18.0" customHeight="1">
      <c r="A924" s="287"/>
      <c r="B924" s="373"/>
      <c r="C924" s="287"/>
      <c r="D924" s="285"/>
      <c r="E924" s="287"/>
      <c r="F924" s="7"/>
      <c r="G924" s="287"/>
      <c r="H924" s="7"/>
      <c r="I924" s="287"/>
      <c r="J924" s="287"/>
      <c r="K924" s="28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</row>
    <row r="925" ht="18.0" customHeight="1">
      <c r="A925" s="287"/>
      <c r="B925" s="373"/>
      <c r="C925" s="287"/>
      <c r="D925" s="285"/>
      <c r="E925" s="287"/>
      <c r="F925" s="7"/>
      <c r="G925" s="287"/>
      <c r="H925" s="7"/>
      <c r="I925" s="287"/>
      <c r="J925" s="287"/>
      <c r="K925" s="28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</row>
    <row r="926" ht="18.0" customHeight="1">
      <c r="A926" s="287"/>
      <c r="B926" s="373"/>
      <c r="C926" s="287"/>
      <c r="D926" s="285"/>
      <c r="E926" s="287"/>
      <c r="F926" s="7"/>
      <c r="G926" s="287"/>
      <c r="H926" s="7"/>
      <c r="I926" s="287"/>
      <c r="J926" s="287"/>
      <c r="K926" s="28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</row>
    <row r="927" ht="18.0" customHeight="1">
      <c r="A927" s="287"/>
      <c r="B927" s="373"/>
      <c r="C927" s="287"/>
      <c r="D927" s="285"/>
      <c r="E927" s="287"/>
      <c r="F927" s="7"/>
      <c r="G927" s="287"/>
      <c r="H927" s="7"/>
      <c r="I927" s="287"/>
      <c r="J927" s="287"/>
      <c r="K927" s="28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</row>
    <row r="928" ht="18.0" customHeight="1">
      <c r="A928" s="287"/>
      <c r="B928" s="373"/>
      <c r="C928" s="287"/>
      <c r="D928" s="285"/>
      <c r="E928" s="287"/>
      <c r="F928" s="7"/>
      <c r="G928" s="287"/>
      <c r="H928" s="7"/>
      <c r="I928" s="287"/>
      <c r="J928" s="287"/>
      <c r="K928" s="28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</row>
    <row r="929" ht="18.0" customHeight="1">
      <c r="A929" s="287"/>
      <c r="B929" s="373"/>
      <c r="C929" s="287"/>
      <c r="D929" s="285"/>
      <c r="E929" s="287"/>
      <c r="F929" s="7"/>
      <c r="G929" s="287"/>
      <c r="H929" s="7"/>
      <c r="I929" s="287"/>
      <c r="J929" s="287"/>
      <c r="K929" s="28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</row>
    <row r="930" ht="18.0" customHeight="1">
      <c r="A930" s="287"/>
      <c r="B930" s="373"/>
      <c r="C930" s="287"/>
      <c r="D930" s="285"/>
      <c r="E930" s="287"/>
      <c r="F930" s="7"/>
      <c r="G930" s="287"/>
      <c r="H930" s="7"/>
      <c r="I930" s="287"/>
      <c r="J930" s="287"/>
      <c r="K930" s="28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</row>
    <row r="931" ht="18.0" customHeight="1">
      <c r="A931" s="287"/>
      <c r="B931" s="373"/>
      <c r="C931" s="287"/>
      <c r="D931" s="285"/>
      <c r="E931" s="287"/>
      <c r="F931" s="7"/>
      <c r="G931" s="287"/>
      <c r="H931" s="7"/>
      <c r="I931" s="287"/>
      <c r="J931" s="287"/>
      <c r="K931" s="28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</row>
    <row r="932" ht="18.0" customHeight="1">
      <c r="A932" s="287"/>
      <c r="B932" s="373"/>
      <c r="C932" s="287"/>
      <c r="D932" s="285"/>
      <c r="E932" s="287"/>
      <c r="F932" s="7"/>
      <c r="G932" s="287"/>
      <c r="H932" s="7"/>
      <c r="I932" s="287"/>
      <c r="J932" s="287"/>
      <c r="K932" s="28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</row>
    <row r="933" ht="18.0" customHeight="1">
      <c r="A933" s="287"/>
      <c r="B933" s="373"/>
      <c r="C933" s="287"/>
      <c r="D933" s="285"/>
      <c r="E933" s="287"/>
      <c r="F933" s="7"/>
      <c r="G933" s="287"/>
      <c r="H933" s="7"/>
      <c r="I933" s="287"/>
      <c r="J933" s="287"/>
      <c r="K933" s="28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</row>
    <row r="934" ht="18.0" customHeight="1">
      <c r="A934" s="287"/>
      <c r="B934" s="373"/>
      <c r="C934" s="287"/>
      <c r="D934" s="285"/>
      <c r="E934" s="287"/>
      <c r="F934" s="7"/>
      <c r="G934" s="287"/>
      <c r="H934" s="7"/>
      <c r="I934" s="287"/>
      <c r="J934" s="287"/>
      <c r="K934" s="28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</row>
    <row r="935" ht="18.0" customHeight="1">
      <c r="A935" s="287"/>
      <c r="B935" s="373"/>
      <c r="C935" s="287"/>
      <c r="D935" s="285"/>
      <c r="E935" s="287"/>
      <c r="F935" s="7"/>
      <c r="G935" s="287"/>
      <c r="H935" s="7"/>
      <c r="I935" s="287"/>
      <c r="J935" s="287"/>
      <c r="K935" s="28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</row>
    <row r="936" ht="18.0" customHeight="1">
      <c r="A936" s="287"/>
      <c r="B936" s="373"/>
      <c r="C936" s="287"/>
      <c r="D936" s="285"/>
      <c r="E936" s="287"/>
      <c r="F936" s="7"/>
      <c r="G936" s="287"/>
      <c r="H936" s="7"/>
      <c r="I936" s="287"/>
      <c r="J936" s="287"/>
      <c r="K936" s="28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</row>
    <row r="937" ht="18.0" customHeight="1">
      <c r="A937" s="287"/>
      <c r="B937" s="373"/>
      <c r="C937" s="287"/>
      <c r="D937" s="285"/>
      <c r="E937" s="287"/>
      <c r="F937" s="7"/>
      <c r="G937" s="287"/>
      <c r="H937" s="7"/>
      <c r="I937" s="287"/>
      <c r="J937" s="287"/>
      <c r="K937" s="28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</row>
    <row r="938" ht="18.0" customHeight="1">
      <c r="A938" s="287"/>
      <c r="B938" s="373"/>
      <c r="C938" s="287"/>
      <c r="D938" s="285"/>
      <c r="E938" s="287"/>
      <c r="F938" s="7"/>
      <c r="G938" s="287"/>
      <c r="H938" s="7"/>
      <c r="I938" s="287"/>
      <c r="J938" s="287"/>
      <c r="K938" s="28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</row>
    <row r="939" ht="18.0" customHeight="1">
      <c r="A939" s="287"/>
      <c r="B939" s="373"/>
      <c r="C939" s="287"/>
      <c r="D939" s="285"/>
      <c r="E939" s="287"/>
      <c r="F939" s="7"/>
      <c r="G939" s="287"/>
      <c r="H939" s="7"/>
      <c r="I939" s="287"/>
      <c r="J939" s="287"/>
      <c r="K939" s="28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</row>
    <row r="940" ht="18.0" customHeight="1">
      <c r="A940" s="287"/>
      <c r="B940" s="373"/>
      <c r="C940" s="287"/>
      <c r="D940" s="285"/>
      <c r="E940" s="287"/>
      <c r="F940" s="7"/>
      <c r="G940" s="287"/>
      <c r="H940" s="7"/>
      <c r="I940" s="287"/>
      <c r="J940" s="287"/>
      <c r="K940" s="28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</row>
    <row r="941" ht="18.0" customHeight="1">
      <c r="A941" s="287"/>
      <c r="B941" s="373"/>
      <c r="C941" s="287"/>
      <c r="D941" s="285"/>
      <c r="E941" s="287"/>
      <c r="F941" s="7"/>
      <c r="G941" s="287"/>
      <c r="H941" s="7"/>
      <c r="I941" s="287"/>
      <c r="J941" s="287"/>
      <c r="K941" s="28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</row>
    <row r="942" ht="18.0" customHeight="1">
      <c r="A942" s="287"/>
      <c r="B942" s="373"/>
      <c r="C942" s="287"/>
      <c r="D942" s="285"/>
      <c r="E942" s="287"/>
      <c r="F942" s="7"/>
      <c r="G942" s="287"/>
      <c r="H942" s="7"/>
      <c r="I942" s="287"/>
      <c r="J942" s="287"/>
      <c r="K942" s="28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</row>
    <row r="943" ht="18.0" customHeight="1">
      <c r="A943" s="287"/>
      <c r="B943" s="373"/>
      <c r="C943" s="287"/>
      <c r="D943" s="285"/>
      <c r="E943" s="287"/>
      <c r="F943" s="7"/>
      <c r="G943" s="287"/>
      <c r="H943" s="7"/>
      <c r="I943" s="287"/>
      <c r="J943" s="287"/>
      <c r="K943" s="28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</row>
    <row r="944" ht="18.0" customHeight="1">
      <c r="A944" s="287"/>
      <c r="B944" s="373"/>
      <c r="C944" s="287"/>
      <c r="D944" s="285"/>
      <c r="E944" s="287"/>
      <c r="F944" s="7"/>
      <c r="G944" s="287"/>
      <c r="H944" s="7"/>
      <c r="I944" s="287"/>
      <c r="J944" s="287"/>
      <c r="K944" s="28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</row>
    <row r="945" ht="18.0" customHeight="1">
      <c r="A945" s="287"/>
      <c r="B945" s="373"/>
      <c r="C945" s="287"/>
      <c r="D945" s="285"/>
      <c r="E945" s="287"/>
      <c r="F945" s="7"/>
      <c r="G945" s="287"/>
      <c r="H945" s="7"/>
      <c r="I945" s="287"/>
      <c r="J945" s="287"/>
      <c r="K945" s="28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</row>
    <row r="946" ht="18.0" customHeight="1">
      <c r="A946" s="287"/>
      <c r="B946" s="373"/>
      <c r="C946" s="287"/>
      <c r="D946" s="285"/>
      <c r="E946" s="287"/>
      <c r="F946" s="7"/>
      <c r="G946" s="287"/>
      <c r="H946" s="7"/>
      <c r="I946" s="287"/>
      <c r="J946" s="287"/>
      <c r="K946" s="28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</row>
    <row r="947" ht="18.0" customHeight="1">
      <c r="A947" s="287"/>
      <c r="B947" s="373"/>
      <c r="C947" s="287"/>
      <c r="D947" s="285"/>
      <c r="E947" s="287"/>
      <c r="F947" s="7"/>
      <c r="G947" s="287"/>
      <c r="H947" s="7"/>
      <c r="I947" s="287"/>
      <c r="J947" s="287"/>
      <c r="K947" s="28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</row>
    <row r="948" ht="18.0" customHeight="1">
      <c r="A948" s="287"/>
      <c r="B948" s="373"/>
      <c r="C948" s="287"/>
      <c r="D948" s="285"/>
      <c r="E948" s="287"/>
      <c r="F948" s="7"/>
      <c r="G948" s="287"/>
      <c r="H948" s="7"/>
      <c r="I948" s="287"/>
      <c r="J948" s="287"/>
      <c r="K948" s="28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</row>
    <row r="949" ht="18.0" customHeight="1">
      <c r="A949" s="287"/>
      <c r="B949" s="373"/>
      <c r="C949" s="287"/>
      <c r="D949" s="285"/>
      <c r="E949" s="287"/>
      <c r="F949" s="7"/>
      <c r="G949" s="287"/>
      <c r="H949" s="7"/>
      <c r="I949" s="287"/>
      <c r="J949" s="287"/>
      <c r="K949" s="28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</row>
    <row r="950" ht="18.0" customHeight="1">
      <c r="A950" s="287"/>
      <c r="B950" s="373"/>
      <c r="C950" s="287"/>
      <c r="D950" s="285"/>
      <c r="E950" s="287"/>
      <c r="F950" s="7"/>
      <c r="G950" s="287"/>
      <c r="H950" s="7"/>
      <c r="I950" s="287"/>
      <c r="J950" s="287"/>
      <c r="K950" s="28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</row>
    <row r="951" ht="18.0" customHeight="1">
      <c r="A951" s="287"/>
      <c r="B951" s="373"/>
      <c r="C951" s="287"/>
      <c r="D951" s="285"/>
      <c r="E951" s="287"/>
      <c r="F951" s="7"/>
      <c r="G951" s="287"/>
      <c r="H951" s="7"/>
      <c r="I951" s="287"/>
      <c r="J951" s="287"/>
      <c r="K951" s="28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</row>
    <row r="952" ht="18.0" customHeight="1">
      <c r="A952" s="287"/>
      <c r="B952" s="373"/>
      <c r="C952" s="287"/>
      <c r="D952" s="285"/>
      <c r="E952" s="287"/>
      <c r="F952" s="7"/>
      <c r="G952" s="287"/>
      <c r="H952" s="7"/>
      <c r="I952" s="287"/>
      <c r="J952" s="287"/>
      <c r="K952" s="28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</row>
    <row r="953" ht="18.0" customHeight="1">
      <c r="A953" s="287"/>
      <c r="B953" s="373"/>
      <c r="C953" s="287"/>
      <c r="D953" s="285"/>
      <c r="E953" s="287"/>
      <c r="F953" s="7"/>
      <c r="G953" s="287"/>
      <c r="H953" s="7"/>
      <c r="I953" s="287"/>
      <c r="J953" s="287"/>
      <c r="K953" s="28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</row>
    <row r="954" ht="18.0" customHeight="1">
      <c r="A954" s="287"/>
      <c r="B954" s="373"/>
      <c r="C954" s="287"/>
      <c r="D954" s="285"/>
      <c r="E954" s="287"/>
      <c r="F954" s="7"/>
      <c r="G954" s="287"/>
      <c r="H954" s="7"/>
      <c r="I954" s="287"/>
      <c r="J954" s="287"/>
      <c r="K954" s="28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</row>
    <row r="955" ht="18.0" customHeight="1">
      <c r="A955" s="287"/>
      <c r="B955" s="373"/>
      <c r="C955" s="287"/>
      <c r="D955" s="285"/>
      <c r="E955" s="287"/>
      <c r="F955" s="7"/>
      <c r="G955" s="287"/>
      <c r="H955" s="7"/>
      <c r="I955" s="287"/>
      <c r="J955" s="287"/>
      <c r="K955" s="28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</row>
    <row r="956" ht="18.0" customHeight="1">
      <c r="A956" s="287"/>
      <c r="B956" s="373"/>
      <c r="C956" s="287"/>
      <c r="D956" s="285"/>
      <c r="E956" s="287"/>
      <c r="F956" s="7"/>
      <c r="G956" s="287"/>
      <c r="H956" s="7"/>
      <c r="I956" s="287"/>
      <c r="J956" s="287"/>
      <c r="K956" s="28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</row>
    <row r="957" ht="18.0" customHeight="1">
      <c r="A957" s="287"/>
      <c r="B957" s="373"/>
      <c r="C957" s="287"/>
      <c r="D957" s="285"/>
      <c r="E957" s="287"/>
      <c r="F957" s="7"/>
      <c r="G957" s="287"/>
      <c r="H957" s="7"/>
      <c r="I957" s="287"/>
      <c r="J957" s="287"/>
      <c r="K957" s="28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</row>
    <row r="958" ht="18.0" customHeight="1">
      <c r="A958" s="287"/>
      <c r="B958" s="373"/>
      <c r="C958" s="287"/>
      <c r="D958" s="285"/>
      <c r="E958" s="287"/>
      <c r="F958" s="7"/>
      <c r="G958" s="287"/>
      <c r="H958" s="7"/>
      <c r="I958" s="287"/>
      <c r="J958" s="287"/>
      <c r="K958" s="28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</row>
    <row r="959" ht="18.0" customHeight="1">
      <c r="A959" s="287"/>
      <c r="B959" s="373"/>
      <c r="C959" s="287"/>
      <c r="D959" s="285"/>
      <c r="E959" s="287"/>
      <c r="F959" s="7"/>
      <c r="G959" s="287"/>
      <c r="H959" s="7"/>
      <c r="I959" s="287"/>
      <c r="J959" s="287"/>
      <c r="K959" s="28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</row>
    <row r="960" ht="18.0" customHeight="1">
      <c r="A960" s="287"/>
      <c r="B960" s="373"/>
      <c r="C960" s="287"/>
      <c r="D960" s="285"/>
      <c r="E960" s="287"/>
      <c r="F960" s="7"/>
      <c r="G960" s="287"/>
      <c r="H960" s="7"/>
      <c r="I960" s="287"/>
      <c r="J960" s="287"/>
      <c r="K960" s="28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</row>
    <row r="961" ht="18.0" customHeight="1">
      <c r="A961" s="287"/>
      <c r="B961" s="373"/>
      <c r="C961" s="287"/>
      <c r="D961" s="285"/>
      <c r="E961" s="287"/>
      <c r="F961" s="7"/>
      <c r="G961" s="287"/>
      <c r="H961" s="7"/>
      <c r="I961" s="287"/>
      <c r="J961" s="287"/>
      <c r="K961" s="28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</row>
    <row r="962" ht="18.0" customHeight="1">
      <c r="A962" s="287"/>
      <c r="B962" s="373"/>
      <c r="C962" s="287"/>
      <c r="D962" s="285"/>
      <c r="E962" s="287"/>
      <c r="F962" s="7"/>
      <c r="G962" s="287"/>
      <c r="H962" s="7"/>
      <c r="I962" s="287"/>
      <c r="J962" s="287"/>
      <c r="K962" s="28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</row>
    <row r="963" ht="18.0" customHeight="1">
      <c r="A963" s="287"/>
      <c r="B963" s="373"/>
      <c r="C963" s="287"/>
      <c r="D963" s="285"/>
      <c r="E963" s="287"/>
      <c r="F963" s="7"/>
      <c r="G963" s="287"/>
      <c r="H963" s="7"/>
      <c r="I963" s="287"/>
      <c r="J963" s="287"/>
      <c r="K963" s="28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</row>
    <row r="964" ht="18.0" customHeight="1">
      <c r="A964" s="287"/>
      <c r="B964" s="373"/>
      <c r="C964" s="287"/>
      <c r="D964" s="285"/>
      <c r="E964" s="287"/>
      <c r="F964" s="7"/>
      <c r="G964" s="287"/>
      <c r="H964" s="7"/>
      <c r="I964" s="287"/>
      <c r="J964" s="287"/>
      <c r="K964" s="28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</row>
    <row r="965" ht="18.0" customHeight="1">
      <c r="A965" s="287"/>
      <c r="B965" s="373"/>
      <c r="C965" s="287"/>
      <c r="D965" s="285"/>
      <c r="E965" s="287"/>
      <c r="F965" s="7"/>
      <c r="G965" s="287"/>
      <c r="H965" s="7"/>
      <c r="I965" s="287"/>
      <c r="J965" s="287"/>
      <c r="K965" s="28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</row>
    <row r="966" ht="18.0" customHeight="1">
      <c r="A966" s="287"/>
      <c r="B966" s="373"/>
      <c r="C966" s="287"/>
      <c r="D966" s="285"/>
      <c r="E966" s="287"/>
      <c r="F966" s="7"/>
      <c r="G966" s="287"/>
      <c r="H966" s="7"/>
      <c r="I966" s="287"/>
      <c r="J966" s="287"/>
      <c r="K966" s="28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</row>
    <row r="967" ht="18.0" customHeight="1">
      <c r="A967" s="287"/>
      <c r="B967" s="373"/>
      <c r="C967" s="287"/>
      <c r="D967" s="285"/>
      <c r="E967" s="287"/>
      <c r="F967" s="7"/>
      <c r="G967" s="287"/>
      <c r="H967" s="7"/>
      <c r="I967" s="287"/>
      <c r="J967" s="287"/>
      <c r="K967" s="28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</row>
    <row r="968" ht="18.0" customHeight="1">
      <c r="A968" s="287"/>
      <c r="B968" s="373"/>
      <c r="C968" s="287"/>
      <c r="D968" s="285"/>
      <c r="E968" s="287"/>
      <c r="F968" s="7"/>
      <c r="G968" s="287"/>
      <c r="H968" s="7"/>
      <c r="I968" s="287"/>
      <c r="J968" s="287"/>
      <c r="K968" s="28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</row>
    <row r="969" ht="18.0" customHeight="1">
      <c r="A969" s="287"/>
      <c r="B969" s="373"/>
      <c r="C969" s="287"/>
      <c r="D969" s="285"/>
      <c r="E969" s="287"/>
      <c r="F969" s="7"/>
      <c r="G969" s="287"/>
      <c r="H969" s="7"/>
      <c r="I969" s="287"/>
      <c r="J969" s="287"/>
      <c r="K969" s="28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</row>
    <row r="970" ht="18.0" customHeight="1">
      <c r="A970" s="287"/>
      <c r="B970" s="373"/>
      <c r="C970" s="287"/>
      <c r="D970" s="285"/>
      <c r="E970" s="287"/>
      <c r="F970" s="7"/>
      <c r="G970" s="287"/>
      <c r="H970" s="7"/>
      <c r="I970" s="287"/>
      <c r="J970" s="287"/>
      <c r="K970" s="28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</row>
    <row r="971" ht="18.0" customHeight="1">
      <c r="A971" s="287"/>
      <c r="B971" s="373"/>
      <c r="C971" s="287"/>
      <c r="D971" s="285"/>
      <c r="E971" s="287"/>
      <c r="F971" s="7"/>
      <c r="G971" s="287"/>
      <c r="H971" s="7"/>
      <c r="I971" s="287"/>
      <c r="J971" s="287"/>
      <c r="K971" s="28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</row>
    <row r="972" ht="18.0" customHeight="1">
      <c r="A972" s="287"/>
      <c r="B972" s="373"/>
      <c r="C972" s="287"/>
      <c r="D972" s="285"/>
      <c r="E972" s="287"/>
      <c r="F972" s="7"/>
      <c r="G972" s="287"/>
      <c r="H972" s="7"/>
      <c r="I972" s="287"/>
      <c r="J972" s="287"/>
      <c r="K972" s="28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</row>
    <row r="973" ht="18.0" customHeight="1">
      <c r="A973" s="287"/>
      <c r="B973" s="373"/>
      <c r="C973" s="287"/>
      <c r="D973" s="285"/>
      <c r="E973" s="287"/>
      <c r="F973" s="7"/>
      <c r="G973" s="287"/>
      <c r="H973" s="7"/>
      <c r="I973" s="287"/>
      <c r="J973" s="287"/>
      <c r="K973" s="28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</row>
    <row r="974" ht="18.0" customHeight="1">
      <c r="A974" s="287"/>
      <c r="B974" s="373"/>
      <c r="C974" s="287"/>
      <c r="D974" s="285"/>
      <c r="E974" s="287"/>
      <c r="F974" s="7"/>
      <c r="G974" s="287"/>
      <c r="H974" s="7"/>
      <c r="I974" s="287"/>
      <c r="J974" s="287"/>
      <c r="K974" s="28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</row>
    <row r="975" ht="18.0" customHeight="1">
      <c r="A975" s="287"/>
      <c r="B975" s="373"/>
      <c r="C975" s="287"/>
      <c r="D975" s="285"/>
      <c r="E975" s="287"/>
      <c r="F975" s="7"/>
      <c r="G975" s="287"/>
      <c r="H975" s="7"/>
      <c r="I975" s="287"/>
      <c r="J975" s="287"/>
      <c r="K975" s="28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</row>
    <row r="976" ht="18.0" customHeight="1">
      <c r="A976" s="287"/>
      <c r="B976" s="373"/>
      <c r="C976" s="287"/>
      <c r="D976" s="285"/>
      <c r="E976" s="287"/>
      <c r="F976" s="7"/>
      <c r="G976" s="287"/>
      <c r="H976" s="7"/>
      <c r="I976" s="287"/>
      <c r="J976" s="287"/>
      <c r="K976" s="28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</row>
    <row r="977" ht="18.0" customHeight="1">
      <c r="A977" s="287"/>
      <c r="B977" s="373"/>
      <c r="C977" s="287"/>
      <c r="D977" s="285"/>
      <c r="E977" s="287"/>
      <c r="F977" s="7"/>
      <c r="G977" s="287"/>
      <c r="H977" s="7"/>
      <c r="I977" s="287"/>
      <c r="J977" s="287"/>
      <c r="K977" s="28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</row>
    <row r="978" ht="18.0" customHeight="1">
      <c r="A978" s="287"/>
      <c r="B978" s="373"/>
      <c r="C978" s="287"/>
      <c r="D978" s="285"/>
      <c r="E978" s="287"/>
      <c r="F978" s="7"/>
      <c r="G978" s="287"/>
      <c r="H978" s="7"/>
      <c r="I978" s="287"/>
      <c r="J978" s="287"/>
      <c r="K978" s="28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</row>
    <row r="979" ht="18.0" customHeight="1">
      <c r="A979" s="287"/>
      <c r="B979" s="373"/>
      <c r="C979" s="287"/>
      <c r="D979" s="285"/>
      <c r="E979" s="287"/>
      <c r="F979" s="7"/>
      <c r="G979" s="287"/>
      <c r="H979" s="7"/>
      <c r="I979" s="287"/>
      <c r="J979" s="287"/>
      <c r="K979" s="28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</row>
    <row r="980" ht="18.0" customHeight="1">
      <c r="A980" s="287"/>
      <c r="B980" s="373"/>
      <c r="C980" s="287"/>
      <c r="D980" s="285"/>
      <c r="E980" s="287"/>
      <c r="F980" s="7"/>
      <c r="G980" s="287"/>
      <c r="H980" s="7"/>
      <c r="I980" s="287"/>
      <c r="J980" s="287"/>
      <c r="K980" s="28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</row>
    <row r="981" ht="18.0" customHeight="1">
      <c r="A981" s="287"/>
      <c r="B981" s="373"/>
      <c r="C981" s="287"/>
      <c r="D981" s="285"/>
      <c r="E981" s="287"/>
      <c r="F981" s="7"/>
      <c r="G981" s="287"/>
      <c r="H981" s="7"/>
      <c r="I981" s="287"/>
      <c r="J981" s="287"/>
      <c r="K981" s="28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</row>
    <row r="982" ht="18.0" customHeight="1">
      <c r="A982" s="287"/>
      <c r="B982" s="373"/>
      <c r="C982" s="287"/>
      <c r="D982" s="285"/>
      <c r="E982" s="287"/>
      <c r="F982" s="7"/>
      <c r="G982" s="287"/>
      <c r="H982" s="7"/>
      <c r="I982" s="287"/>
      <c r="J982" s="287"/>
      <c r="K982" s="28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</row>
    <row r="983" ht="18.0" customHeight="1">
      <c r="A983" s="287"/>
      <c r="B983" s="373"/>
      <c r="C983" s="287"/>
      <c r="D983" s="285"/>
      <c r="E983" s="287"/>
      <c r="F983" s="7"/>
      <c r="G983" s="287"/>
      <c r="H983" s="7"/>
      <c r="I983" s="287"/>
      <c r="J983" s="287"/>
      <c r="K983" s="28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</row>
    <row r="984" ht="18.0" customHeight="1">
      <c r="A984" s="287"/>
      <c r="B984" s="373"/>
      <c r="C984" s="287"/>
      <c r="D984" s="285"/>
      <c r="E984" s="287"/>
      <c r="F984" s="7"/>
      <c r="G984" s="287"/>
      <c r="H984" s="7"/>
      <c r="I984" s="287"/>
      <c r="J984" s="287"/>
      <c r="K984" s="28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</row>
    <row r="985" ht="18.0" customHeight="1">
      <c r="A985" s="287"/>
      <c r="B985" s="373"/>
      <c r="C985" s="287"/>
      <c r="D985" s="285"/>
      <c r="E985" s="287"/>
      <c r="F985" s="7"/>
      <c r="G985" s="287"/>
      <c r="H985" s="7"/>
      <c r="I985" s="287"/>
      <c r="J985" s="287"/>
      <c r="K985" s="28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</row>
    <row r="986" ht="18.0" customHeight="1">
      <c r="A986" s="287"/>
      <c r="B986" s="373"/>
      <c r="C986" s="287"/>
      <c r="D986" s="285"/>
      <c r="E986" s="287"/>
      <c r="F986" s="7"/>
      <c r="G986" s="287"/>
      <c r="H986" s="7"/>
      <c r="I986" s="287"/>
      <c r="J986" s="287"/>
      <c r="K986" s="28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</row>
    <row r="987" ht="18.0" customHeight="1">
      <c r="A987" s="287"/>
      <c r="B987" s="373"/>
      <c r="C987" s="287"/>
      <c r="D987" s="285"/>
      <c r="E987" s="287"/>
      <c r="F987" s="7"/>
      <c r="G987" s="287"/>
      <c r="H987" s="7"/>
      <c r="I987" s="287"/>
      <c r="J987" s="287"/>
      <c r="K987" s="28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</row>
    <row r="988" ht="18.0" customHeight="1">
      <c r="A988" s="287"/>
      <c r="B988" s="373"/>
      <c r="C988" s="287"/>
      <c r="D988" s="285"/>
      <c r="E988" s="287"/>
      <c r="F988" s="7"/>
      <c r="G988" s="287"/>
      <c r="H988" s="7"/>
      <c r="I988" s="287"/>
      <c r="J988" s="287"/>
      <c r="K988" s="28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</row>
    <row r="989" ht="18.0" customHeight="1">
      <c r="A989" s="287"/>
      <c r="B989" s="373"/>
      <c r="C989" s="287"/>
      <c r="D989" s="285"/>
      <c r="E989" s="287"/>
      <c r="F989" s="7"/>
      <c r="G989" s="287"/>
      <c r="H989" s="7"/>
      <c r="I989" s="287"/>
      <c r="J989" s="287"/>
      <c r="K989" s="28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</row>
    <row r="990" ht="18.0" customHeight="1">
      <c r="A990" s="287"/>
      <c r="B990" s="373"/>
      <c r="C990" s="287"/>
      <c r="D990" s="285"/>
      <c r="E990" s="287"/>
      <c r="F990" s="7"/>
      <c r="G990" s="287"/>
      <c r="H990" s="7"/>
      <c r="I990" s="287"/>
      <c r="J990" s="287"/>
      <c r="K990" s="28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</row>
    <row r="991" ht="18.0" customHeight="1">
      <c r="A991" s="287"/>
      <c r="B991" s="373"/>
      <c r="C991" s="287"/>
      <c r="D991" s="285"/>
      <c r="E991" s="287"/>
      <c r="F991" s="7"/>
      <c r="G991" s="287"/>
      <c r="H991" s="7"/>
      <c r="I991" s="287"/>
      <c r="J991" s="287"/>
      <c r="K991" s="28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</row>
    <row r="992" ht="18.0" customHeight="1">
      <c r="A992" s="287"/>
      <c r="B992" s="373"/>
      <c r="C992" s="287"/>
      <c r="D992" s="285"/>
      <c r="E992" s="287"/>
      <c r="F992" s="7"/>
      <c r="G992" s="287"/>
      <c r="H992" s="7"/>
      <c r="I992" s="287"/>
      <c r="J992" s="287"/>
      <c r="K992" s="28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</row>
    <row r="993" ht="18.0" customHeight="1">
      <c r="A993" s="287"/>
      <c r="B993" s="373"/>
      <c r="C993" s="287"/>
      <c r="D993" s="285"/>
      <c r="E993" s="287"/>
      <c r="F993" s="7"/>
      <c r="G993" s="287"/>
      <c r="H993" s="7"/>
      <c r="I993" s="287"/>
      <c r="J993" s="287"/>
      <c r="K993" s="28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</row>
    <row r="994" ht="18.0" customHeight="1">
      <c r="A994" s="287"/>
      <c r="B994" s="373"/>
      <c r="C994" s="287"/>
      <c r="D994" s="285"/>
      <c r="E994" s="287"/>
      <c r="F994" s="7"/>
      <c r="G994" s="287"/>
      <c r="H994" s="7"/>
      <c r="I994" s="287"/>
      <c r="J994" s="287"/>
      <c r="K994" s="28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</row>
    <row r="995" ht="18.0" customHeight="1">
      <c r="A995" s="287"/>
      <c r="B995" s="373"/>
      <c r="C995" s="287"/>
      <c r="D995" s="285"/>
      <c r="E995" s="287"/>
      <c r="F995" s="7"/>
      <c r="G995" s="287"/>
      <c r="H995" s="7"/>
      <c r="I995" s="287"/>
      <c r="J995" s="287"/>
      <c r="K995" s="28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</row>
    <row r="996" ht="18.0" customHeight="1">
      <c r="A996" s="287"/>
      <c r="B996" s="373"/>
      <c r="C996" s="287"/>
      <c r="D996" s="285"/>
      <c r="E996" s="287"/>
      <c r="F996" s="7"/>
      <c r="G996" s="287"/>
      <c r="H996" s="7"/>
      <c r="I996" s="287"/>
      <c r="J996" s="287"/>
      <c r="K996" s="28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</row>
    <row r="997" ht="18.0" customHeight="1">
      <c r="A997" s="287"/>
      <c r="B997" s="373"/>
      <c r="C997" s="287"/>
      <c r="D997" s="285"/>
      <c r="E997" s="287"/>
      <c r="F997" s="7"/>
      <c r="G997" s="287"/>
      <c r="H997" s="7"/>
      <c r="I997" s="287"/>
      <c r="J997" s="287"/>
      <c r="K997" s="28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</row>
    <row r="998" ht="18.0" customHeight="1">
      <c r="A998" s="287"/>
      <c r="B998" s="373"/>
      <c r="C998" s="287"/>
      <c r="D998" s="285"/>
      <c r="E998" s="287"/>
      <c r="F998" s="7"/>
      <c r="G998" s="287"/>
      <c r="H998" s="7"/>
      <c r="I998" s="287"/>
      <c r="J998" s="287"/>
      <c r="K998" s="28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</row>
    <row r="999" ht="18.0" customHeight="1">
      <c r="A999" s="287"/>
      <c r="B999" s="373"/>
      <c r="C999" s="287"/>
      <c r="D999" s="285"/>
      <c r="E999" s="287"/>
      <c r="F999" s="7"/>
      <c r="G999" s="287"/>
      <c r="H999" s="7"/>
      <c r="I999" s="287"/>
      <c r="J999" s="287"/>
      <c r="K999" s="28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</row>
    <row r="1000" ht="18.0" customHeight="1">
      <c r="A1000" s="287"/>
      <c r="B1000" s="373"/>
      <c r="C1000" s="287"/>
      <c r="D1000" s="285"/>
      <c r="E1000" s="287"/>
      <c r="F1000" s="7"/>
      <c r="G1000" s="287"/>
      <c r="H1000" s="7"/>
      <c r="I1000" s="287"/>
      <c r="J1000" s="287"/>
      <c r="K1000" s="28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</row>
    <row r="1001" ht="18.0" customHeight="1">
      <c r="A1001" s="287"/>
      <c r="B1001" s="373"/>
      <c r="C1001" s="287"/>
      <c r="D1001" s="285"/>
      <c r="E1001" s="287"/>
      <c r="F1001" s="7"/>
      <c r="G1001" s="287"/>
      <c r="H1001" s="7"/>
      <c r="I1001" s="287"/>
      <c r="J1001" s="287"/>
      <c r="K1001" s="28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</row>
    <row r="1002" ht="18.0" customHeight="1">
      <c r="A1002" s="287"/>
      <c r="B1002" s="373"/>
      <c r="C1002" s="287"/>
      <c r="D1002" s="285"/>
      <c r="E1002" s="287"/>
      <c r="F1002" s="7"/>
      <c r="G1002" s="287"/>
      <c r="H1002" s="7"/>
      <c r="I1002" s="287"/>
      <c r="J1002" s="287"/>
      <c r="K1002" s="28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</row>
    <row r="1003" ht="18.0" customHeight="1">
      <c r="A1003" s="287"/>
      <c r="B1003" s="373"/>
      <c r="C1003" s="287"/>
      <c r="D1003" s="285"/>
      <c r="E1003" s="287"/>
      <c r="F1003" s="7"/>
      <c r="G1003" s="287"/>
      <c r="H1003" s="7"/>
      <c r="I1003" s="287"/>
      <c r="J1003" s="287"/>
      <c r="K1003" s="28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</row>
    <row r="1004" ht="18.0" customHeight="1">
      <c r="A1004" s="287"/>
      <c r="B1004" s="373"/>
      <c r="C1004" s="287"/>
      <c r="D1004" s="285"/>
      <c r="E1004" s="287"/>
      <c r="F1004" s="7"/>
      <c r="G1004" s="287"/>
      <c r="H1004" s="7"/>
      <c r="I1004" s="287"/>
      <c r="J1004" s="287"/>
      <c r="K1004" s="28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</row>
    <row r="1005" ht="18.0" customHeight="1">
      <c r="A1005" s="287"/>
      <c r="B1005" s="373"/>
      <c r="C1005" s="287"/>
      <c r="D1005" s="285"/>
      <c r="E1005" s="287"/>
      <c r="F1005" s="7"/>
      <c r="G1005" s="287"/>
      <c r="H1005" s="7"/>
      <c r="I1005" s="287"/>
      <c r="J1005" s="287"/>
      <c r="K1005" s="28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</row>
    <row r="1006" ht="18.0" customHeight="1">
      <c r="A1006" s="287"/>
      <c r="B1006" s="373"/>
      <c r="C1006" s="287"/>
      <c r="D1006" s="285"/>
      <c r="E1006" s="287"/>
      <c r="F1006" s="7"/>
      <c r="G1006" s="287"/>
      <c r="H1006" s="7"/>
      <c r="I1006" s="287"/>
      <c r="J1006" s="287"/>
      <c r="K1006" s="28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</row>
    <row r="1007" ht="18.0" customHeight="1">
      <c r="A1007" s="287"/>
      <c r="B1007" s="373"/>
      <c r="C1007" s="287"/>
      <c r="D1007" s="285"/>
      <c r="E1007" s="287"/>
      <c r="F1007" s="7"/>
      <c r="G1007" s="287"/>
      <c r="H1007" s="7"/>
      <c r="I1007" s="287"/>
      <c r="J1007" s="287"/>
      <c r="K1007" s="28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</row>
    <row r="1008" ht="18.0" customHeight="1">
      <c r="A1008" s="287"/>
      <c r="B1008" s="373"/>
      <c r="C1008" s="287"/>
      <c r="D1008" s="285"/>
      <c r="E1008" s="287"/>
      <c r="F1008" s="7"/>
      <c r="G1008" s="287"/>
      <c r="H1008" s="7"/>
      <c r="I1008" s="287"/>
      <c r="J1008" s="287"/>
      <c r="K1008" s="28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</row>
    <row r="1009" ht="18.0" customHeight="1">
      <c r="A1009" s="287"/>
      <c r="B1009" s="373"/>
      <c r="C1009" s="287"/>
      <c r="D1009" s="285"/>
      <c r="E1009" s="287"/>
      <c r="F1009" s="7"/>
      <c r="G1009" s="287"/>
      <c r="H1009" s="7"/>
      <c r="I1009" s="287"/>
      <c r="J1009" s="287"/>
      <c r="K1009" s="28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</row>
    <row r="1010" ht="18.0" customHeight="1">
      <c r="A1010" s="287"/>
      <c r="B1010" s="373"/>
      <c r="C1010" s="287"/>
      <c r="D1010" s="285"/>
      <c r="E1010" s="287"/>
      <c r="F1010" s="7"/>
      <c r="G1010" s="287"/>
      <c r="H1010" s="7"/>
      <c r="I1010" s="287"/>
      <c r="J1010" s="287"/>
      <c r="K1010" s="28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</row>
    <row r="1011" ht="18.0" customHeight="1">
      <c r="A1011" s="287"/>
      <c r="B1011" s="373"/>
      <c r="C1011" s="287"/>
      <c r="D1011" s="285"/>
      <c r="E1011" s="287"/>
      <c r="F1011" s="7"/>
      <c r="G1011" s="287"/>
      <c r="H1011" s="7"/>
      <c r="I1011" s="287"/>
      <c r="J1011" s="287"/>
      <c r="K1011" s="28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</row>
    <row r="1012" ht="18.0" customHeight="1">
      <c r="A1012" s="287"/>
      <c r="B1012" s="373"/>
      <c r="C1012" s="287"/>
      <c r="D1012" s="285"/>
      <c r="E1012" s="287"/>
      <c r="F1012" s="7"/>
      <c r="G1012" s="287"/>
      <c r="H1012" s="7"/>
      <c r="I1012" s="287"/>
      <c r="J1012" s="287"/>
      <c r="K1012" s="28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</row>
    <row r="1013" ht="18.0" customHeight="1">
      <c r="A1013" s="287"/>
      <c r="B1013" s="373"/>
      <c r="C1013" s="287"/>
      <c r="D1013" s="285"/>
      <c r="E1013" s="287"/>
      <c r="F1013" s="7"/>
      <c r="G1013" s="287"/>
      <c r="H1013" s="7"/>
      <c r="I1013" s="287"/>
      <c r="J1013" s="287"/>
      <c r="K1013" s="28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</row>
    <row r="1014" ht="18.0" customHeight="1">
      <c r="A1014" s="287"/>
      <c r="B1014" s="373"/>
      <c r="C1014" s="287"/>
      <c r="D1014" s="285"/>
      <c r="E1014" s="287"/>
      <c r="F1014" s="7"/>
      <c r="G1014" s="287"/>
      <c r="H1014" s="7"/>
      <c r="I1014" s="287"/>
      <c r="J1014" s="287"/>
      <c r="K1014" s="28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</row>
    <row r="1015" ht="18.0" customHeight="1">
      <c r="A1015" s="287"/>
      <c r="B1015" s="373"/>
      <c r="C1015" s="287"/>
      <c r="D1015" s="285"/>
      <c r="E1015" s="287"/>
      <c r="F1015" s="7"/>
      <c r="G1015" s="287"/>
      <c r="H1015" s="7"/>
      <c r="I1015" s="287"/>
      <c r="J1015" s="287"/>
      <c r="K1015" s="28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</row>
    <row r="1016" ht="18.0" customHeight="1">
      <c r="A1016" s="287"/>
      <c r="B1016" s="373"/>
      <c r="C1016" s="287"/>
      <c r="D1016" s="285"/>
      <c r="E1016" s="287"/>
      <c r="F1016" s="7"/>
      <c r="G1016" s="287"/>
      <c r="H1016" s="7"/>
      <c r="I1016" s="287"/>
      <c r="J1016" s="287"/>
      <c r="K1016" s="28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</row>
    <row r="1017" ht="18.0" customHeight="1">
      <c r="A1017" s="287"/>
      <c r="B1017" s="373"/>
      <c r="C1017" s="287"/>
      <c r="D1017" s="285"/>
      <c r="E1017" s="287"/>
      <c r="F1017" s="7"/>
      <c r="G1017" s="287"/>
      <c r="H1017" s="7"/>
      <c r="I1017" s="287"/>
      <c r="J1017" s="287"/>
      <c r="K1017" s="28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</row>
    <row r="1018" ht="18.0" customHeight="1">
      <c r="A1018" s="287"/>
      <c r="B1018" s="373"/>
      <c r="C1018" s="287"/>
      <c r="D1018" s="285"/>
      <c r="E1018" s="287"/>
      <c r="F1018" s="7"/>
      <c r="G1018" s="287"/>
      <c r="H1018" s="7"/>
      <c r="I1018" s="287"/>
      <c r="J1018" s="287"/>
      <c r="K1018" s="28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</row>
    <row r="1019" ht="18.0" customHeight="1">
      <c r="A1019" s="287"/>
      <c r="B1019" s="373"/>
      <c r="C1019" s="287"/>
      <c r="D1019" s="285"/>
      <c r="E1019" s="287"/>
      <c r="F1019" s="7"/>
      <c r="G1019" s="287"/>
      <c r="H1019" s="7"/>
      <c r="I1019" s="287"/>
      <c r="J1019" s="287"/>
      <c r="K1019" s="28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</row>
    <row r="1020" ht="18.0" customHeight="1">
      <c r="A1020" s="287"/>
      <c r="B1020" s="373"/>
      <c r="C1020" s="287"/>
      <c r="D1020" s="285"/>
      <c r="E1020" s="287"/>
      <c r="F1020" s="7"/>
      <c r="G1020" s="287"/>
      <c r="H1020" s="7"/>
      <c r="I1020" s="287"/>
      <c r="J1020" s="287"/>
      <c r="K1020" s="28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</row>
    <row r="1021" ht="18.0" customHeight="1">
      <c r="A1021" s="287"/>
      <c r="B1021" s="373"/>
      <c r="C1021" s="287"/>
      <c r="D1021" s="285"/>
      <c r="E1021" s="287"/>
      <c r="F1021" s="7"/>
      <c r="G1021" s="287"/>
      <c r="H1021" s="7"/>
      <c r="I1021" s="287"/>
      <c r="J1021" s="287"/>
      <c r="K1021" s="28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</row>
    <row r="1022" ht="18.0" customHeight="1">
      <c r="A1022" s="287"/>
      <c r="B1022" s="373"/>
      <c r="C1022" s="287"/>
      <c r="D1022" s="285"/>
      <c r="E1022" s="287"/>
      <c r="F1022" s="7"/>
      <c r="G1022" s="287"/>
      <c r="H1022" s="7"/>
      <c r="I1022" s="287"/>
      <c r="J1022" s="287"/>
      <c r="K1022" s="28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</row>
    <row r="1023" ht="18.0" customHeight="1">
      <c r="A1023" s="287"/>
      <c r="B1023" s="373"/>
      <c r="C1023" s="287"/>
      <c r="D1023" s="285"/>
      <c r="E1023" s="287"/>
      <c r="F1023" s="7"/>
      <c r="G1023" s="287"/>
      <c r="H1023" s="7"/>
      <c r="I1023" s="287"/>
      <c r="J1023" s="287"/>
      <c r="K1023" s="28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</row>
    <row r="1024" ht="18.0" customHeight="1">
      <c r="A1024" s="287"/>
      <c r="B1024" s="373"/>
      <c r="C1024" s="287"/>
      <c r="D1024" s="285"/>
      <c r="E1024" s="287"/>
      <c r="F1024" s="7"/>
      <c r="G1024" s="287"/>
      <c r="H1024" s="7"/>
      <c r="I1024" s="287"/>
      <c r="J1024" s="287"/>
      <c r="K1024" s="28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</row>
    <row r="1025" ht="18.0" customHeight="1">
      <c r="A1025" s="287"/>
      <c r="B1025" s="373"/>
      <c r="C1025" s="287"/>
      <c r="D1025" s="285"/>
      <c r="E1025" s="287"/>
      <c r="F1025" s="7"/>
      <c r="G1025" s="287"/>
      <c r="H1025" s="7"/>
      <c r="I1025" s="287"/>
      <c r="J1025" s="287"/>
      <c r="K1025" s="28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</row>
    <row r="1026" ht="18.0" customHeight="1">
      <c r="A1026" s="287"/>
      <c r="B1026" s="373"/>
      <c r="C1026" s="287"/>
      <c r="D1026" s="285"/>
      <c r="E1026" s="287"/>
      <c r="F1026" s="7"/>
      <c r="G1026" s="287"/>
      <c r="H1026" s="7"/>
      <c r="I1026" s="287"/>
      <c r="J1026" s="287"/>
      <c r="K1026" s="28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</row>
    <row r="1027" ht="18.0" customHeight="1">
      <c r="A1027" s="287"/>
      <c r="B1027" s="373"/>
      <c r="C1027" s="287"/>
      <c r="D1027" s="285"/>
      <c r="E1027" s="287"/>
      <c r="F1027" s="7"/>
      <c r="G1027" s="287"/>
      <c r="H1027" s="7"/>
      <c r="I1027" s="287"/>
      <c r="J1027" s="287"/>
      <c r="K1027" s="28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</row>
    <row r="1028" ht="18.0" customHeight="1">
      <c r="A1028" s="287"/>
      <c r="B1028" s="373"/>
      <c r="C1028" s="287"/>
      <c r="D1028" s="285"/>
      <c r="E1028" s="287"/>
      <c r="F1028" s="7"/>
      <c r="G1028" s="287"/>
      <c r="H1028" s="7"/>
      <c r="I1028" s="287"/>
      <c r="J1028" s="287"/>
      <c r="K1028" s="28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</row>
    <row r="1029" ht="18.0" customHeight="1">
      <c r="A1029" s="287"/>
      <c r="B1029" s="373"/>
      <c r="C1029" s="287"/>
      <c r="D1029" s="285"/>
      <c r="E1029" s="287"/>
      <c r="F1029" s="7"/>
      <c r="G1029" s="287"/>
      <c r="H1029" s="7"/>
      <c r="I1029" s="287"/>
      <c r="J1029" s="287"/>
      <c r="K1029" s="28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</row>
    <row r="1030" ht="18.0" customHeight="1">
      <c r="A1030" s="287"/>
      <c r="B1030" s="373"/>
      <c r="C1030" s="287"/>
      <c r="D1030" s="285"/>
      <c r="E1030" s="287"/>
      <c r="F1030" s="7"/>
      <c r="G1030" s="287"/>
      <c r="H1030" s="7"/>
      <c r="I1030" s="287"/>
      <c r="J1030" s="287"/>
      <c r="K1030" s="28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</row>
    <row r="1031" ht="18.0" customHeight="1">
      <c r="A1031" s="287"/>
      <c r="B1031" s="373"/>
      <c r="C1031" s="287"/>
      <c r="D1031" s="285"/>
      <c r="E1031" s="287"/>
      <c r="F1031" s="7"/>
      <c r="G1031" s="287"/>
      <c r="H1031" s="7"/>
      <c r="I1031" s="287"/>
      <c r="J1031" s="287"/>
      <c r="K1031" s="28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</row>
    <row r="1032" ht="18.0" customHeight="1">
      <c r="A1032" s="287"/>
      <c r="B1032" s="373"/>
      <c r="C1032" s="287"/>
      <c r="D1032" s="285"/>
      <c r="E1032" s="287"/>
      <c r="F1032" s="7"/>
      <c r="G1032" s="287"/>
      <c r="H1032" s="7"/>
      <c r="I1032" s="287"/>
      <c r="J1032" s="287"/>
      <c r="K1032" s="28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</row>
    <row r="1033" ht="18.0" customHeight="1">
      <c r="A1033" s="287"/>
      <c r="B1033" s="373"/>
      <c r="C1033" s="287"/>
      <c r="D1033" s="285"/>
      <c r="E1033" s="287"/>
      <c r="F1033" s="7"/>
      <c r="G1033" s="287"/>
      <c r="H1033" s="7"/>
      <c r="I1033" s="287"/>
      <c r="J1033" s="287"/>
      <c r="K1033" s="28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</row>
    <row r="1034" ht="18.0" customHeight="1">
      <c r="A1034" s="287"/>
      <c r="B1034" s="373"/>
      <c r="C1034" s="287"/>
      <c r="D1034" s="285"/>
      <c r="E1034" s="287"/>
      <c r="F1034" s="7"/>
      <c r="G1034" s="287"/>
      <c r="H1034" s="7"/>
      <c r="I1034" s="287"/>
      <c r="J1034" s="287"/>
      <c r="K1034" s="28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</row>
    <row r="1035" ht="18.0" customHeight="1">
      <c r="A1035" s="287"/>
      <c r="B1035" s="373"/>
      <c r="C1035" s="287"/>
      <c r="D1035" s="285"/>
      <c r="E1035" s="287"/>
      <c r="F1035" s="7"/>
      <c r="G1035" s="287"/>
      <c r="H1035" s="7"/>
      <c r="I1035" s="287"/>
      <c r="J1035" s="287"/>
      <c r="K1035" s="28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</row>
    <row r="1036" ht="18.0" customHeight="1">
      <c r="A1036" s="287"/>
      <c r="B1036" s="373"/>
      <c r="C1036" s="287"/>
      <c r="D1036" s="285"/>
      <c r="E1036" s="287"/>
      <c r="F1036" s="7"/>
      <c r="G1036" s="287"/>
      <c r="H1036" s="7"/>
      <c r="I1036" s="287"/>
      <c r="J1036" s="287"/>
      <c r="K1036" s="28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</row>
    <row r="1037" ht="18.0" customHeight="1">
      <c r="A1037" s="287"/>
      <c r="B1037" s="373"/>
      <c r="C1037" s="287"/>
      <c r="D1037" s="285"/>
      <c r="E1037" s="287"/>
      <c r="F1037" s="7"/>
      <c r="G1037" s="287"/>
      <c r="H1037" s="7"/>
      <c r="I1037" s="287"/>
      <c r="J1037" s="287"/>
      <c r="K1037" s="28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</row>
    <row r="1038" ht="18.0" customHeight="1">
      <c r="A1038" s="287"/>
      <c r="B1038" s="373"/>
      <c r="C1038" s="287"/>
      <c r="D1038" s="285"/>
      <c r="E1038" s="287"/>
      <c r="F1038" s="7"/>
      <c r="G1038" s="287"/>
      <c r="H1038" s="7"/>
      <c r="I1038" s="287"/>
      <c r="J1038" s="287"/>
      <c r="K1038" s="28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</row>
    <row r="1039" ht="18.0" customHeight="1">
      <c r="A1039" s="287"/>
      <c r="B1039" s="373"/>
      <c r="C1039" s="287"/>
      <c r="D1039" s="285"/>
      <c r="E1039" s="287"/>
      <c r="F1039" s="7"/>
      <c r="G1039" s="287"/>
      <c r="H1039" s="7"/>
      <c r="I1039" s="287"/>
      <c r="J1039" s="287"/>
      <c r="K1039" s="28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</row>
    <row r="1040" ht="18.0" customHeight="1">
      <c r="A1040" s="287"/>
      <c r="B1040" s="373"/>
      <c r="C1040" s="287"/>
      <c r="D1040" s="285"/>
      <c r="E1040" s="287"/>
      <c r="F1040" s="7"/>
      <c r="G1040" s="287"/>
      <c r="H1040" s="7"/>
      <c r="I1040" s="287"/>
      <c r="J1040" s="287"/>
      <c r="K1040" s="28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</row>
    <row r="1041" ht="18.0" customHeight="1">
      <c r="A1041" s="287"/>
      <c r="B1041" s="373"/>
      <c r="C1041" s="287"/>
      <c r="D1041" s="285"/>
      <c r="E1041" s="287"/>
      <c r="F1041" s="7"/>
      <c r="G1041" s="287"/>
      <c r="H1041" s="7"/>
      <c r="I1041" s="287"/>
      <c r="J1041" s="287"/>
      <c r="K1041" s="28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</row>
    <row r="1042" ht="18.0" customHeight="1">
      <c r="A1042" s="287"/>
      <c r="B1042" s="373"/>
      <c r="C1042" s="287"/>
      <c r="D1042" s="285"/>
      <c r="E1042" s="287"/>
      <c r="F1042" s="7"/>
      <c r="G1042" s="287"/>
      <c r="H1042" s="7"/>
      <c r="I1042" s="287"/>
      <c r="J1042" s="287"/>
      <c r="K1042" s="28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</row>
    <row r="1043" ht="18.0" customHeight="1">
      <c r="A1043" s="287"/>
      <c r="B1043" s="373"/>
      <c r="C1043" s="287"/>
      <c r="D1043" s="285"/>
      <c r="E1043" s="287"/>
      <c r="F1043" s="7"/>
      <c r="G1043" s="287"/>
      <c r="H1043" s="7"/>
      <c r="I1043" s="287"/>
      <c r="J1043" s="287"/>
      <c r="K1043" s="28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</row>
    <row r="1044" ht="18.0" customHeight="1">
      <c r="A1044" s="287"/>
      <c r="B1044" s="373"/>
      <c r="C1044" s="287"/>
      <c r="D1044" s="285"/>
      <c r="E1044" s="287"/>
      <c r="F1044" s="7"/>
      <c r="G1044" s="287"/>
      <c r="H1044" s="7"/>
      <c r="I1044" s="287"/>
      <c r="J1044" s="287"/>
      <c r="K1044" s="28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</row>
    <row r="1045" ht="18.0" customHeight="1">
      <c r="A1045" s="287"/>
      <c r="B1045" s="373"/>
      <c r="C1045" s="287"/>
      <c r="D1045" s="285"/>
      <c r="E1045" s="287"/>
      <c r="F1045" s="7"/>
      <c r="G1045" s="287"/>
      <c r="H1045" s="7"/>
      <c r="I1045" s="287"/>
      <c r="J1045" s="287"/>
      <c r="K1045" s="28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</row>
    <row r="1046" ht="18.0" customHeight="1">
      <c r="A1046" s="287"/>
      <c r="B1046" s="373"/>
      <c r="C1046" s="287"/>
      <c r="D1046" s="285"/>
      <c r="E1046" s="287"/>
      <c r="F1046" s="7"/>
      <c r="G1046" s="287"/>
      <c r="H1046" s="7"/>
      <c r="I1046" s="287"/>
      <c r="J1046" s="287"/>
      <c r="K1046" s="28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</row>
    <row r="1047" ht="18.0" customHeight="1">
      <c r="A1047" s="287"/>
      <c r="B1047" s="373"/>
      <c r="C1047" s="287"/>
      <c r="D1047" s="285"/>
      <c r="E1047" s="287"/>
      <c r="F1047" s="7"/>
      <c r="G1047" s="287"/>
      <c r="H1047" s="7"/>
      <c r="I1047" s="287"/>
      <c r="J1047" s="287"/>
      <c r="K1047" s="28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</row>
    <row r="1048" ht="18.0" customHeight="1">
      <c r="A1048" s="287"/>
      <c r="B1048" s="373"/>
      <c r="C1048" s="287"/>
      <c r="D1048" s="285"/>
      <c r="E1048" s="287"/>
      <c r="F1048" s="7"/>
      <c r="G1048" s="287"/>
      <c r="H1048" s="7"/>
      <c r="I1048" s="287"/>
      <c r="J1048" s="287"/>
      <c r="K1048" s="28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</row>
    <row r="1049" ht="18.0" customHeight="1">
      <c r="A1049" s="287"/>
      <c r="B1049" s="373"/>
      <c r="C1049" s="287"/>
      <c r="D1049" s="285"/>
      <c r="E1049" s="287"/>
      <c r="F1049" s="7"/>
      <c r="G1049" s="287"/>
      <c r="H1049" s="7"/>
      <c r="I1049" s="287"/>
      <c r="J1049" s="287"/>
      <c r="K1049" s="28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</row>
    <row r="1050" ht="18.0" customHeight="1">
      <c r="A1050" s="287"/>
      <c r="B1050" s="373"/>
      <c r="C1050" s="287"/>
      <c r="D1050" s="285"/>
      <c r="E1050" s="287"/>
      <c r="F1050" s="7"/>
      <c r="G1050" s="287"/>
      <c r="H1050" s="7"/>
      <c r="I1050" s="287"/>
      <c r="J1050" s="287"/>
      <c r="K1050" s="28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</row>
    <row r="1051" ht="18.0" customHeight="1">
      <c r="A1051" s="287"/>
      <c r="B1051" s="373"/>
      <c r="C1051" s="287"/>
      <c r="D1051" s="285"/>
      <c r="E1051" s="287"/>
      <c r="F1051" s="7"/>
      <c r="G1051" s="287"/>
      <c r="H1051" s="7"/>
      <c r="I1051" s="287"/>
      <c r="J1051" s="287"/>
      <c r="K1051" s="28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</row>
    <row r="1052" ht="18.0" customHeight="1">
      <c r="A1052" s="287"/>
      <c r="B1052" s="373"/>
      <c r="C1052" s="287"/>
      <c r="D1052" s="285"/>
      <c r="E1052" s="287"/>
      <c r="F1052" s="7"/>
      <c r="G1052" s="287"/>
      <c r="H1052" s="7"/>
      <c r="I1052" s="287"/>
      <c r="J1052" s="287"/>
      <c r="K1052" s="28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</row>
    <row r="1053" ht="18.0" customHeight="1">
      <c r="A1053" s="287"/>
      <c r="B1053" s="373"/>
      <c r="C1053" s="287"/>
      <c r="D1053" s="285"/>
      <c r="E1053" s="287"/>
      <c r="F1053" s="7"/>
      <c r="G1053" s="287"/>
      <c r="H1053" s="7"/>
      <c r="I1053" s="287"/>
      <c r="J1053" s="287"/>
      <c r="K1053" s="28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</row>
    <row r="1054" ht="18.0" customHeight="1">
      <c r="A1054" s="287"/>
      <c r="B1054" s="373"/>
      <c r="C1054" s="287"/>
      <c r="D1054" s="285"/>
      <c r="E1054" s="287"/>
      <c r="F1054" s="7"/>
      <c r="G1054" s="287"/>
      <c r="H1054" s="7"/>
      <c r="I1054" s="287"/>
      <c r="J1054" s="287"/>
      <c r="K1054" s="28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</row>
    <row r="1055" ht="18.0" customHeight="1">
      <c r="A1055" s="287"/>
      <c r="B1055" s="373"/>
      <c r="C1055" s="287"/>
      <c r="D1055" s="285"/>
      <c r="E1055" s="287"/>
      <c r="F1055" s="7"/>
      <c r="G1055" s="287"/>
      <c r="H1055" s="7"/>
      <c r="I1055" s="287"/>
      <c r="J1055" s="287"/>
      <c r="K1055" s="28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</row>
    <row r="1056" ht="18.0" customHeight="1">
      <c r="A1056" s="287"/>
      <c r="B1056" s="373"/>
      <c r="C1056" s="287"/>
      <c r="D1056" s="285"/>
      <c r="E1056" s="287"/>
      <c r="F1056" s="7"/>
      <c r="G1056" s="287"/>
      <c r="H1056" s="7"/>
      <c r="I1056" s="287"/>
      <c r="J1056" s="287"/>
      <c r="K1056" s="28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</row>
    <row r="1057" ht="18.0" customHeight="1">
      <c r="A1057" s="287"/>
      <c r="B1057" s="373"/>
      <c r="C1057" s="287"/>
      <c r="D1057" s="285"/>
      <c r="E1057" s="287"/>
      <c r="F1057" s="7"/>
      <c r="G1057" s="287"/>
      <c r="H1057" s="7"/>
      <c r="I1057" s="287"/>
      <c r="J1057" s="287"/>
      <c r="K1057" s="28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</row>
    <row r="1058" ht="18.0" customHeight="1">
      <c r="A1058" s="287"/>
      <c r="B1058" s="373"/>
      <c r="C1058" s="287"/>
      <c r="D1058" s="285"/>
      <c r="E1058" s="287"/>
      <c r="F1058" s="7"/>
      <c r="G1058" s="287"/>
      <c r="H1058" s="7"/>
      <c r="I1058" s="287"/>
      <c r="J1058" s="287"/>
      <c r="K1058" s="28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</row>
    <row r="1059" ht="18.0" customHeight="1">
      <c r="A1059" s="287"/>
      <c r="B1059" s="373"/>
      <c r="C1059" s="287"/>
      <c r="D1059" s="285"/>
      <c r="E1059" s="287"/>
      <c r="F1059" s="7"/>
      <c r="G1059" s="287"/>
      <c r="H1059" s="7"/>
      <c r="I1059" s="287"/>
      <c r="J1059" s="287"/>
      <c r="K1059" s="28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</row>
    <row r="1060" ht="18.0" customHeight="1">
      <c r="A1060" s="287"/>
      <c r="B1060" s="373"/>
      <c r="C1060" s="287"/>
      <c r="D1060" s="285"/>
      <c r="E1060" s="287"/>
      <c r="F1060" s="7"/>
      <c r="G1060" s="287"/>
      <c r="H1060" s="7"/>
      <c r="I1060" s="287"/>
      <c r="J1060" s="287"/>
      <c r="K1060" s="28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</row>
    <row r="1061" ht="18.0" customHeight="1">
      <c r="A1061" s="287"/>
      <c r="B1061" s="373"/>
      <c r="C1061" s="287"/>
      <c r="D1061" s="285"/>
      <c r="E1061" s="287"/>
      <c r="F1061" s="7"/>
      <c r="G1061" s="287"/>
      <c r="H1061" s="7"/>
      <c r="I1061" s="287"/>
      <c r="J1061" s="287"/>
      <c r="K1061" s="28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</row>
    <row r="1062" ht="18.0" customHeight="1">
      <c r="A1062" s="287"/>
      <c r="B1062" s="373"/>
      <c r="C1062" s="287"/>
      <c r="D1062" s="285"/>
      <c r="E1062" s="287"/>
      <c r="F1062" s="7"/>
      <c r="G1062" s="287"/>
      <c r="H1062" s="7"/>
      <c r="I1062" s="287"/>
      <c r="J1062" s="287"/>
      <c r="K1062" s="28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</row>
    <row r="1063" ht="18.0" customHeight="1">
      <c r="A1063" s="287"/>
      <c r="B1063" s="373"/>
      <c r="C1063" s="287"/>
      <c r="D1063" s="285"/>
      <c r="E1063" s="287"/>
      <c r="F1063" s="7"/>
      <c r="G1063" s="287"/>
      <c r="H1063" s="7"/>
      <c r="I1063" s="287"/>
      <c r="J1063" s="287"/>
      <c r="K1063" s="28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</row>
    <row r="1064" ht="18.0" customHeight="1">
      <c r="A1064" s="287"/>
      <c r="B1064" s="373"/>
      <c r="C1064" s="287"/>
      <c r="D1064" s="285"/>
      <c r="E1064" s="287"/>
      <c r="F1064" s="7"/>
      <c r="G1064" s="287"/>
      <c r="H1064" s="7"/>
      <c r="I1064" s="287"/>
      <c r="J1064" s="287"/>
      <c r="K1064" s="28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</row>
    <row r="1065" ht="18.0" customHeight="1">
      <c r="A1065" s="287"/>
      <c r="B1065" s="373"/>
      <c r="C1065" s="287"/>
      <c r="D1065" s="285"/>
      <c r="E1065" s="287"/>
      <c r="F1065" s="7"/>
      <c r="G1065" s="287"/>
      <c r="H1065" s="7"/>
      <c r="I1065" s="287"/>
      <c r="J1065" s="287"/>
      <c r="K1065" s="28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</row>
    <row r="1066" ht="18.0" customHeight="1">
      <c r="A1066" s="287"/>
      <c r="B1066" s="373"/>
      <c r="C1066" s="287"/>
      <c r="D1066" s="285"/>
      <c r="E1066" s="287"/>
      <c r="F1066" s="7"/>
      <c r="G1066" s="287"/>
      <c r="H1066" s="7"/>
      <c r="I1066" s="287"/>
      <c r="J1066" s="287"/>
      <c r="K1066" s="28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</row>
    <row r="1067" ht="18.0" customHeight="1">
      <c r="A1067" s="287"/>
      <c r="B1067" s="373"/>
      <c r="C1067" s="287"/>
      <c r="D1067" s="285"/>
      <c r="E1067" s="287"/>
      <c r="F1067" s="7"/>
      <c r="G1067" s="287"/>
      <c r="H1067" s="7"/>
      <c r="I1067" s="287"/>
      <c r="J1067" s="287"/>
      <c r="K1067" s="28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</row>
    <row r="1068" ht="18.0" customHeight="1">
      <c r="A1068" s="287"/>
      <c r="B1068" s="373"/>
      <c r="C1068" s="287"/>
      <c r="D1068" s="285"/>
      <c r="E1068" s="287"/>
      <c r="F1068" s="7"/>
      <c r="G1068" s="287"/>
      <c r="H1068" s="7"/>
      <c r="I1068" s="287"/>
      <c r="J1068" s="287"/>
      <c r="K1068" s="28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</row>
    <row r="1069" ht="18.0" customHeight="1">
      <c r="A1069" s="287"/>
      <c r="B1069" s="373"/>
      <c r="C1069" s="287"/>
      <c r="D1069" s="285"/>
      <c r="E1069" s="287"/>
      <c r="F1069" s="7"/>
      <c r="G1069" s="287"/>
      <c r="H1069" s="7"/>
      <c r="I1069" s="287"/>
      <c r="J1069" s="287"/>
      <c r="K1069" s="28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</row>
    <row r="1070" ht="18.0" customHeight="1">
      <c r="A1070" s="287"/>
      <c r="B1070" s="373"/>
      <c r="C1070" s="287"/>
      <c r="D1070" s="285"/>
      <c r="E1070" s="287"/>
      <c r="F1070" s="7"/>
      <c r="G1070" s="287"/>
      <c r="H1070" s="7"/>
      <c r="I1070" s="287"/>
      <c r="J1070" s="287"/>
      <c r="K1070" s="28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</row>
    <row r="1071" ht="18.0" customHeight="1">
      <c r="A1071" s="287"/>
      <c r="B1071" s="373"/>
      <c r="C1071" s="287"/>
      <c r="D1071" s="285"/>
      <c r="E1071" s="287"/>
      <c r="F1071" s="7"/>
      <c r="G1071" s="287"/>
      <c r="H1071" s="7"/>
      <c r="I1071" s="287"/>
      <c r="J1071" s="287"/>
      <c r="K1071" s="28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</row>
    <row r="1072" ht="18.0" customHeight="1">
      <c r="A1072" s="287"/>
      <c r="B1072" s="373"/>
      <c r="C1072" s="287"/>
      <c r="D1072" s="285"/>
      <c r="E1072" s="287"/>
      <c r="F1072" s="7"/>
      <c r="G1072" s="287"/>
      <c r="H1072" s="7"/>
      <c r="I1072" s="287"/>
      <c r="J1072" s="287"/>
      <c r="K1072" s="28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</row>
    <row r="1073" ht="18.0" customHeight="1">
      <c r="A1073" s="287"/>
      <c r="B1073" s="373"/>
      <c r="C1073" s="287"/>
      <c r="D1073" s="285"/>
      <c r="E1073" s="287"/>
      <c r="F1073" s="7"/>
      <c r="G1073" s="287"/>
      <c r="H1073" s="7"/>
      <c r="I1073" s="287"/>
      <c r="J1073" s="287"/>
      <c r="K1073" s="28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</row>
    <row r="1074" ht="18.0" customHeight="1">
      <c r="A1074" s="287"/>
      <c r="B1074" s="373"/>
      <c r="C1074" s="287"/>
      <c r="D1074" s="285"/>
      <c r="E1074" s="287"/>
      <c r="F1074" s="7"/>
      <c r="G1074" s="287"/>
      <c r="H1074" s="7"/>
      <c r="I1074" s="287"/>
      <c r="J1074" s="287"/>
      <c r="K1074" s="28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</row>
    <row r="1075" ht="18.0" customHeight="1">
      <c r="A1075" s="287"/>
      <c r="B1075" s="373"/>
      <c r="C1075" s="287"/>
      <c r="D1075" s="285"/>
      <c r="E1075" s="287"/>
      <c r="F1075" s="7"/>
      <c r="G1075" s="287"/>
      <c r="H1075" s="7"/>
      <c r="I1075" s="287"/>
      <c r="J1075" s="287"/>
      <c r="K1075" s="28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</row>
    <row r="1076" ht="18.0" customHeight="1">
      <c r="A1076" s="287"/>
      <c r="B1076" s="373"/>
      <c r="C1076" s="287"/>
      <c r="D1076" s="285"/>
      <c r="E1076" s="287"/>
      <c r="F1076" s="7"/>
      <c r="G1076" s="287"/>
      <c r="H1076" s="7"/>
      <c r="I1076" s="287"/>
      <c r="J1076" s="287"/>
      <c r="K1076" s="28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</row>
    <row r="1077" ht="18.0" customHeight="1">
      <c r="A1077" s="287"/>
      <c r="B1077" s="373"/>
      <c r="C1077" s="287"/>
      <c r="D1077" s="285"/>
      <c r="E1077" s="287"/>
      <c r="F1077" s="7"/>
      <c r="G1077" s="287"/>
      <c r="H1077" s="7"/>
      <c r="I1077" s="287"/>
      <c r="J1077" s="287"/>
      <c r="K1077" s="28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</row>
    <row r="1078" ht="18.0" customHeight="1">
      <c r="A1078" s="287"/>
      <c r="B1078" s="373"/>
      <c r="C1078" s="287"/>
      <c r="D1078" s="285"/>
      <c r="E1078" s="287"/>
      <c r="F1078" s="7"/>
      <c r="G1078" s="287"/>
      <c r="H1078" s="7"/>
      <c r="I1078" s="287"/>
      <c r="J1078" s="287"/>
      <c r="K1078" s="28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</row>
    <row r="1079" ht="18.0" customHeight="1">
      <c r="A1079" s="287"/>
      <c r="B1079" s="373"/>
      <c r="C1079" s="287"/>
      <c r="D1079" s="285"/>
      <c r="E1079" s="287"/>
      <c r="F1079" s="7"/>
      <c r="G1079" s="287"/>
      <c r="H1079" s="7"/>
      <c r="I1079" s="287"/>
      <c r="J1079" s="287"/>
      <c r="K1079" s="28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</row>
    <row r="1080" ht="18.0" customHeight="1">
      <c r="A1080" s="287"/>
      <c r="B1080" s="373"/>
      <c r="C1080" s="287"/>
      <c r="D1080" s="285"/>
      <c r="E1080" s="287"/>
      <c r="F1080" s="7"/>
      <c r="G1080" s="287"/>
      <c r="H1080" s="7"/>
      <c r="I1080" s="287"/>
      <c r="J1080" s="287"/>
      <c r="K1080" s="28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</row>
    <row r="1081" ht="18.0" customHeight="1">
      <c r="A1081" s="287"/>
      <c r="B1081" s="373"/>
      <c r="C1081" s="287"/>
      <c r="D1081" s="285"/>
      <c r="E1081" s="287"/>
      <c r="F1081" s="7"/>
      <c r="G1081" s="287"/>
      <c r="H1081" s="7"/>
      <c r="I1081" s="287"/>
      <c r="J1081" s="287"/>
      <c r="K1081" s="28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</row>
    <row r="1082" ht="18.0" customHeight="1">
      <c r="A1082" s="287"/>
      <c r="B1082" s="373"/>
      <c r="C1082" s="287"/>
      <c r="D1082" s="285"/>
      <c r="E1082" s="287"/>
      <c r="F1082" s="7"/>
      <c r="G1082" s="287"/>
      <c r="H1082" s="7"/>
      <c r="I1082" s="287"/>
      <c r="J1082" s="287"/>
      <c r="K1082" s="28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</row>
    <row r="1083" ht="18.0" customHeight="1">
      <c r="A1083" s="287"/>
      <c r="B1083" s="373"/>
      <c r="C1083" s="287"/>
      <c r="D1083" s="285"/>
      <c r="E1083" s="287"/>
      <c r="F1083" s="7"/>
      <c r="G1083" s="287"/>
      <c r="H1083" s="7"/>
      <c r="I1083" s="287"/>
      <c r="J1083" s="287"/>
      <c r="K1083" s="28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</row>
    <row r="1084" ht="18.0" customHeight="1">
      <c r="A1084" s="287"/>
      <c r="B1084" s="373"/>
      <c r="C1084" s="287"/>
      <c r="D1084" s="285"/>
      <c r="E1084" s="287"/>
      <c r="F1084" s="7"/>
      <c r="G1084" s="287"/>
      <c r="H1084" s="7"/>
      <c r="I1084" s="287"/>
      <c r="J1084" s="287"/>
      <c r="K1084" s="28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</row>
    <row r="1085" ht="18.0" customHeight="1">
      <c r="A1085" s="287"/>
      <c r="B1085" s="373"/>
      <c r="C1085" s="287"/>
      <c r="D1085" s="285"/>
      <c r="E1085" s="287"/>
      <c r="F1085" s="7"/>
      <c r="G1085" s="287"/>
      <c r="H1085" s="7"/>
      <c r="I1085" s="287"/>
      <c r="J1085" s="287"/>
      <c r="K1085" s="28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</row>
    <row r="1086" ht="18.0" customHeight="1">
      <c r="A1086" s="287"/>
      <c r="B1086" s="373"/>
      <c r="C1086" s="287"/>
      <c r="D1086" s="285"/>
      <c r="E1086" s="287"/>
      <c r="F1086" s="7"/>
      <c r="G1086" s="287"/>
      <c r="H1086" s="7"/>
      <c r="I1086" s="287"/>
      <c r="J1086" s="287"/>
      <c r="K1086" s="28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</row>
    <row r="1087" ht="18.0" customHeight="1">
      <c r="A1087" s="287"/>
      <c r="B1087" s="373"/>
      <c r="C1087" s="287"/>
      <c r="D1087" s="285"/>
      <c r="E1087" s="287"/>
      <c r="F1087" s="7"/>
      <c r="G1087" s="287"/>
      <c r="H1087" s="7"/>
      <c r="I1087" s="287"/>
      <c r="J1087" s="287"/>
      <c r="K1087" s="28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</row>
    <row r="1088" ht="18.0" customHeight="1">
      <c r="A1088" s="287"/>
      <c r="B1088" s="373"/>
      <c r="C1088" s="287"/>
      <c r="D1088" s="285"/>
      <c r="E1088" s="287"/>
      <c r="F1088" s="7"/>
      <c r="G1088" s="287"/>
      <c r="H1088" s="7"/>
      <c r="I1088" s="287"/>
      <c r="J1088" s="287"/>
      <c r="K1088" s="28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</row>
    <row r="1089" ht="18.0" customHeight="1">
      <c r="A1089" s="287"/>
      <c r="B1089" s="373"/>
      <c r="C1089" s="287"/>
      <c r="D1089" s="285"/>
      <c r="E1089" s="287"/>
      <c r="F1089" s="7"/>
      <c r="G1089" s="287"/>
      <c r="H1089" s="7"/>
      <c r="I1089" s="287"/>
      <c r="J1089" s="287"/>
      <c r="K1089" s="28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</row>
    <row r="1090" ht="18.0" customHeight="1">
      <c r="A1090" s="287"/>
      <c r="B1090" s="373"/>
      <c r="C1090" s="287"/>
      <c r="D1090" s="285"/>
      <c r="E1090" s="287"/>
      <c r="F1090" s="7"/>
      <c r="G1090" s="287"/>
      <c r="H1090" s="7"/>
      <c r="I1090" s="287"/>
      <c r="J1090" s="287"/>
      <c r="K1090" s="28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</row>
    <row r="1091" ht="18.0" customHeight="1">
      <c r="A1091" s="287"/>
      <c r="B1091" s="373"/>
      <c r="C1091" s="287"/>
      <c r="D1091" s="285"/>
      <c r="E1091" s="287"/>
      <c r="F1091" s="7"/>
      <c r="G1091" s="287"/>
      <c r="H1091" s="7"/>
      <c r="I1091" s="287"/>
      <c r="J1091" s="287"/>
      <c r="K1091" s="28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</row>
    <row r="1092" ht="18.0" customHeight="1">
      <c r="A1092" s="287"/>
      <c r="B1092" s="373"/>
      <c r="C1092" s="287"/>
      <c r="D1092" s="285"/>
      <c r="E1092" s="287"/>
      <c r="F1092" s="7"/>
      <c r="G1092" s="287"/>
      <c r="H1092" s="7"/>
      <c r="I1092" s="287"/>
      <c r="J1092" s="287"/>
      <c r="K1092" s="28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</row>
    <row r="1093" ht="18.0" customHeight="1">
      <c r="A1093" s="287"/>
      <c r="B1093" s="373"/>
      <c r="C1093" s="287"/>
      <c r="D1093" s="285"/>
      <c r="E1093" s="287"/>
      <c r="F1093" s="7"/>
      <c r="G1093" s="287"/>
      <c r="H1093" s="7"/>
      <c r="I1093" s="287"/>
      <c r="J1093" s="287"/>
      <c r="K1093" s="28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</row>
    <row r="1094" ht="18.0" customHeight="1">
      <c r="A1094" s="287"/>
      <c r="B1094" s="373"/>
      <c r="C1094" s="287"/>
      <c r="D1094" s="285"/>
      <c r="E1094" s="287"/>
      <c r="F1094" s="7"/>
      <c r="G1094" s="287"/>
      <c r="H1094" s="7"/>
      <c r="I1094" s="287"/>
      <c r="J1094" s="287"/>
      <c r="K1094" s="28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</row>
    <row r="1095" ht="18.0" customHeight="1">
      <c r="A1095" s="287"/>
      <c r="B1095" s="373"/>
      <c r="C1095" s="287"/>
      <c r="D1095" s="285"/>
      <c r="E1095" s="287"/>
      <c r="F1095" s="7"/>
      <c r="G1095" s="287"/>
      <c r="H1095" s="7"/>
      <c r="I1095" s="287"/>
      <c r="J1095" s="287"/>
      <c r="K1095" s="28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</row>
    <row r="1096" ht="18.0" customHeight="1">
      <c r="A1096" s="287"/>
      <c r="B1096" s="373"/>
      <c r="C1096" s="287"/>
      <c r="D1096" s="285"/>
      <c r="E1096" s="287"/>
      <c r="F1096" s="7"/>
      <c r="G1096" s="287"/>
      <c r="H1096" s="7"/>
      <c r="I1096" s="287"/>
      <c r="J1096" s="287"/>
      <c r="K1096" s="28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</row>
    <row r="1097" ht="18.0" customHeight="1">
      <c r="A1097" s="287"/>
      <c r="B1097" s="373"/>
      <c r="C1097" s="287"/>
      <c r="D1097" s="285"/>
      <c r="E1097" s="287"/>
      <c r="F1097" s="7"/>
      <c r="G1097" s="287"/>
      <c r="H1097" s="7"/>
      <c r="I1097" s="287"/>
      <c r="J1097" s="287"/>
      <c r="K1097" s="28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</row>
    <row r="1098" ht="18.0" customHeight="1">
      <c r="A1098" s="287"/>
      <c r="B1098" s="373"/>
      <c r="C1098" s="287"/>
      <c r="D1098" s="285"/>
      <c r="E1098" s="287"/>
      <c r="F1098" s="7"/>
      <c r="G1098" s="287"/>
      <c r="H1098" s="7"/>
      <c r="I1098" s="287"/>
      <c r="J1098" s="287"/>
      <c r="K1098" s="28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</row>
    <row r="1099" ht="18.0" customHeight="1">
      <c r="A1099" s="287"/>
      <c r="B1099" s="373"/>
      <c r="C1099" s="287"/>
      <c r="D1099" s="285"/>
      <c r="E1099" s="287"/>
      <c r="F1099" s="7"/>
      <c r="G1099" s="287"/>
      <c r="H1099" s="7"/>
      <c r="I1099" s="287"/>
      <c r="J1099" s="287"/>
      <c r="K1099" s="28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</row>
    <row r="1100" ht="18.0" customHeight="1">
      <c r="A1100" s="287"/>
      <c r="B1100" s="373"/>
      <c r="C1100" s="287"/>
      <c r="D1100" s="285"/>
      <c r="E1100" s="287"/>
      <c r="F1100" s="7"/>
      <c r="G1100" s="287"/>
      <c r="H1100" s="7"/>
      <c r="I1100" s="287"/>
      <c r="J1100" s="287"/>
      <c r="K1100" s="28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</row>
    <row r="1101" ht="18.0" customHeight="1">
      <c r="A1101" s="287"/>
      <c r="B1101" s="373"/>
      <c r="C1101" s="287"/>
      <c r="D1101" s="285"/>
      <c r="E1101" s="287"/>
      <c r="F1101" s="7"/>
      <c r="G1101" s="287"/>
      <c r="H1101" s="7"/>
      <c r="I1101" s="287"/>
      <c r="J1101" s="287"/>
      <c r="K1101" s="28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</row>
    <row r="1102" ht="18.0" customHeight="1">
      <c r="A1102" s="287"/>
      <c r="B1102" s="373"/>
      <c r="C1102" s="287"/>
      <c r="D1102" s="285"/>
      <c r="E1102" s="287"/>
      <c r="F1102" s="7"/>
      <c r="G1102" s="287"/>
      <c r="H1102" s="7"/>
      <c r="I1102" s="287"/>
      <c r="J1102" s="287"/>
      <c r="K1102" s="28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</row>
    <row r="1103" ht="18.0" customHeight="1">
      <c r="A1103" s="287"/>
      <c r="B1103" s="373"/>
      <c r="C1103" s="287"/>
      <c r="D1103" s="285"/>
      <c r="E1103" s="287"/>
      <c r="F1103" s="7"/>
      <c r="G1103" s="287"/>
      <c r="H1103" s="7"/>
      <c r="I1103" s="287"/>
      <c r="J1103" s="287"/>
      <c r="K1103" s="28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</row>
    <row r="1104" ht="18.0" customHeight="1">
      <c r="A1104" s="287"/>
      <c r="B1104" s="373"/>
      <c r="C1104" s="287"/>
      <c r="D1104" s="285"/>
      <c r="E1104" s="287"/>
      <c r="F1104" s="7"/>
      <c r="G1104" s="287"/>
      <c r="H1104" s="7"/>
      <c r="I1104" s="287"/>
      <c r="J1104" s="287"/>
      <c r="K1104" s="28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</row>
    <row r="1105" ht="18.0" customHeight="1">
      <c r="A1105" s="287"/>
      <c r="B1105" s="373"/>
      <c r="C1105" s="287"/>
      <c r="D1105" s="285"/>
      <c r="E1105" s="287"/>
      <c r="F1105" s="7"/>
      <c r="G1105" s="287"/>
      <c r="H1105" s="7"/>
      <c r="I1105" s="287"/>
      <c r="J1105" s="287"/>
      <c r="K1105" s="28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</row>
    <row r="1106" ht="18.0" customHeight="1">
      <c r="A1106" s="287"/>
      <c r="B1106" s="373"/>
      <c r="C1106" s="287"/>
      <c r="D1106" s="285"/>
      <c r="E1106" s="287"/>
      <c r="F1106" s="7"/>
      <c r="G1106" s="287"/>
      <c r="H1106" s="7"/>
      <c r="I1106" s="287"/>
      <c r="J1106" s="287"/>
      <c r="K1106" s="28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</row>
    <row r="1107" ht="18.0" customHeight="1">
      <c r="A1107" s="287"/>
      <c r="B1107" s="373"/>
      <c r="C1107" s="287"/>
      <c r="D1107" s="285"/>
      <c r="E1107" s="287"/>
      <c r="F1107" s="7"/>
      <c r="G1107" s="287"/>
      <c r="H1107" s="7"/>
      <c r="I1107" s="287"/>
      <c r="J1107" s="287"/>
      <c r="K1107" s="28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</row>
    <row r="1108" ht="18.0" customHeight="1">
      <c r="A1108" s="287"/>
      <c r="B1108" s="373"/>
      <c r="C1108" s="287"/>
      <c r="D1108" s="285"/>
      <c r="E1108" s="287"/>
      <c r="F1108" s="7"/>
      <c r="G1108" s="287"/>
      <c r="H1108" s="7"/>
      <c r="I1108" s="287"/>
      <c r="J1108" s="287"/>
      <c r="K1108" s="28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</row>
    <row r="1109" ht="18.0" customHeight="1">
      <c r="A1109" s="287"/>
      <c r="B1109" s="373"/>
      <c r="C1109" s="287"/>
      <c r="D1109" s="285"/>
      <c r="E1109" s="287"/>
      <c r="F1109" s="7"/>
      <c r="G1109" s="287"/>
      <c r="H1109" s="7"/>
      <c r="I1109" s="287"/>
      <c r="J1109" s="287"/>
      <c r="K1109" s="28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</row>
    <row r="1110" ht="18.0" customHeight="1">
      <c r="A1110" s="287"/>
      <c r="B1110" s="373"/>
      <c r="C1110" s="287"/>
      <c r="D1110" s="285"/>
      <c r="E1110" s="287"/>
      <c r="F1110" s="7"/>
      <c r="G1110" s="287"/>
      <c r="H1110" s="7"/>
      <c r="I1110" s="287"/>
      <c r="J1110" s="287"/>
      <c r="K1110" s="28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</row>
    <row r="1111" ht="18.0" customHeight="1">
      <c r="A1111" s="287"/>
      <c r="B1111" s="373"/>
      <c r="C1111" s="287"/>
      <c r="D1111" s="285"/>
      <c r="E1111" s="287"/>
      <c r="F1111" s="7"/>
      <c r="G1111" s="287"/>
      <c r="H1111" s="7"/>
      <c r="I1111" s="287"/>
      <c r="J1111" s="287"/>
      <c r="K1111" s="28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</row>
    <row r="1112" ht="18.0" customHeight="1">
      <c r="A1112" s="287"/>
      <c r="B1112" s="373"/>
      <c r="C1112" s="287"/>
      <c r="D1112" s="285"/>
      <c r="E1112" s="287"/>
      <c r="F1112" s="7"/>
      <c r="G1112" s="287"/>
      <c r="H1112" s="7"/>
      <c r="I1112" s="287"/>
      <c r="J1112" s="287"/>
      <c r="K1112" s="28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</row>
    <row r="1113" ht="18.0" customHeight="1">
      <c r="A1113" s="287"/>
      <c r="B1113" s="373"/>
      <c r="C1113" s="287"/>
      <c r="D1113" s="285"/>
      <c r="E1113" s="287"/>
      <c r="F1113" s="7"/>
      <c r="G1113" s="287"/>
      <c r="H1113" s="7"/>
      <c r="I1113" s="287"/>
      <c r="J1113" s="287"/>
      <c r="K1113" s="28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</row>
    <row r="1114" ht="18.0" customHeight="1">
      <c r="A1114" s="287"/>
      <c r="B1114" s="373"/>
      <c r="C1114" s="287"/>
      <c r="D1114" s="285"/>
      <c r="E1114" s="287"/>
      <c r="F1114" s="7"/>
      <c r="G1114" s="287"/>
      <c r="H1114" s="7"/>
      <c r="I1114" s="287"/>
      <c r="J1114" s="287"/>
      <c r="K1114" s="28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</row>
    <row r="1115" ht="18.0" customHeight="1">
      <c r="A1115" s="287"/>
      <c r="B1115" s="373"/>
      <c r="C1115" s="287"/>
      <c r="D1115" s="285"/>
      <c r="E1115" s="287"/>
      <c r="F1115" s="7"/>
      <c r="G1115" s="287"/>
      <c r="H1115" s="7"/>
      <c r="I1115" s="287"/>
      <c r="J1115" s="287"/>
      <c r="K1115" s="28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</row>
    <row r="1116" ht="18.0" customHeight="1">
      <c r="A1116" s="287"/>
      <c r="B1116" s="373"/>
      <c r="C1116" s="287"/>
      <c r="D1116" s="285"/>
      <c r="E1116" s="287"/>
      <c r="F1116" s="7"/>
      <c r="G1116" s="287"/>
      <c r="H1116" s="7"/>
      <c r="I1116" s="287"/>
      <c r="J1116" s="287"/>
      <c r="K1116" s="28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</row>
    <row r="1117" ht="18.0" customHeight="1">
      <c r="A1117" s="287"/>
      <c r="B1117" s="373"/>
      <c r="C1117" s="287"/>
      <c r="D1117" s="285"/>
      <c r="E1117" s="287"/>
      <c r="F1117" s="7"/>
      <c r="G1117" s="287"/>
      <c r="H1117" s="7"/>
      <c r="I1117" s="287"/>
      <c r="J1117" s="287"/>
      <c r="K1117" s="28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</row>
    <row r="1118" ht="18.0" customHeight="1">
      <c r="A1118" s="287"/>
      <c r="B1118" s="373"/>
      <c r="C1118" s="287"/>
      <c r="D1118" s="285"/>
      <c r="E1118" s="287"/>
      <c r="F1118" s="7"/>
      <c r="G1118" s="287"/>
      <c r="H1118" s="7"/>
      <c r="I1118" s="287"/>
      <c r="J1118" s="287"/>
      <c r="K1118" s="28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</row>
    <row r="1119" ht="18.0" customHeight="1">
      <c r="A1119" s="287"/>
      <c r="B1119" s="373"/>
      <c r="C1119" s="287"/>
      <c r="D1119" s="285"/>
      <c r="E1119" s="287"/>
      <c r="F1119" s="7"/>
      <c r="G1119" s="287"/>
      <c r="H1119" s="7"/>
      <c r="I1119" s="287"/>
      <c r="J1119" s="287"/>
      <c r="K1119" s="28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</row>
    <row r="1120" ht="18.0" customHeight="1">
      <c r="A1120" s="287"/>
      <c r="B1120" s="373"/>
      <c r="C1120" s="287"/>
      <c r="D1120" s="285"/>
      <c r="E1120" s="287"/>
      <c r="F1120" s="7"/>
      <c r="G1120" s="287"/>
      <c r="H1120" s="7"/>
      <c r="I1120" s="287"/>
      <c r="J1120" s="287"/>
      <c r="K1120" s="28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</row>
    <row r="1121" ht="18.0" customHeight="1">
      <c r="A1121" s="287"/>
      <c r="B1121" s="373"/>
      <c r="C1121" s="287"/>
      <c r="D1121" s="285"/>
      <c r="E1121" s="287"/>
      <c r="F1121" s="7"/>
      <c r="G1121" s="287"/>
      <c r="H1121" s="7"/>
      <c r="I1121" s="287"/>
      <c r="J1121" s="287"/>
      <c r="K1121" s="28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</row>
    <row r="1122" ht="18.0" customHeight="1">
      <c r="A1122" s="287"/>
      <c r="B1122" s="373"/>
      <c r="C1122" s="287"/>
      <c r="D1122" s="285"/>
      <c r="E1122" s="287"/>
      <c r="F1122" s="7"/>
      <c r="G1122" s="287"/>
      <c r="H1122" s="7"/>
      <c r="I1122" s="287"/>
      <c r="J1122" s="287"/>
      <c r="K1122" s="28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</row>
    <row r="1123" ht="18.0" customHeight="1">
      <c r="A1123" s="287"/>
      <c r="B1123" s="373"/>
      <c r="C1123" s="287"/>
      <c r="D1123" s="285"/>
      <c r="E1123" s="287"/>
      <c r="F1123" s="7"/>
      <c r="G1123" s="287"/>
      <c r="H1123" s="7"/>
      <c r="I1123" s="287"/>
      <c r="J1123" s="287"/>
      <c r="K1123" s="28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</row>
    <row r="1124" ht="18.0" customHeight="1">
      <c r="A1124" s="287"/>
      <c r="B1124" s="373"/>
      <c r="C1124" s="287"/>
      <c r="D1124" s="285"/>
      <c r="E1124" s="287"/>
      <c r="F1124" s="7"/>
      <c r="G1124" s="287"/>
      <c r="H1124" s="7"/>
      <c r="I1124" s="287"/>
      <c r="J1124" s="287"/>
      <c r="K1124" s="28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</row>
    <row r="1125" ht="18.0" customHeight="1">
      <c r="A1125" s="287"/>
      <c r="B1125" s="373"/>
      <c r="C1125" s="287"/>
      <c r="D1125" s="285"/>
      <c r="E1125" s="287"/>
      <c r="F1125" s="7"/>
      <c r="G1125" s="287"/>
      <c r="H1125" s="7"/>
      <c r="I1125" s="287"/>
      <c r="J1125" s="287"/>
      <c r="K1125" s="28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</row>
    <row r="1126" ht="18.0" customHeight="1">
      <c r="A1126" s="287"/>
      <c r="B1126" s="373"/>
      <c r="C1126" s="287"/>
      <c r="D1126" s="285"/>
      <c r="E1126" s="287"/>
      <c r="F1126" s="7"/>
      <c r="G1126" s="287"/>
      <c r="H1126" s="7"/>
      <c r="I1126" s="287"/>
      <c r="J1126" s="287"/>
      <c r="K1126" s="28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</row>
    <row r="1127" ht="18.0" customHeight="1">
      <c r="A1127" s="287"/>
      <c r="B1127" s="373"/>
      <c r="C1127" s="287"/>
      <c r="D1127" s="285"/>
      <c r="E1127" s="287"/>
      <c r="F1127" s="7"/>
      <c r="G1127" s="287"/>
      <c r="H1127" s="7"/>
      <c r="I1127" s="287"/>
      <c r="J1127" s="287"/>
      <c r="K1127" s="28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</row>
    <row r="1128" ht="18.0" customHeight="1">
      <c r="A1128" s="287"/>
      <c r="B1128" s="373"/>
      <c r="C1128" s="287"/>
      <c r="D1128" s="285"/>
      <c r="E1128" s="287"/>
      <c r="F1128" s="7"/>
      <c r="G1128" s="287"/>
      <c r="H1128" s="7"/>
      <c r="I1128" s="287"/>
      <c r="J1128" s="287"/>
      <c r="K1128" s="28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</row>
    <row r="1129" ht="18.0" customHeight="1">
      <c r="A1129" s="287"/>
      <c r="B1129" s="373"/>
      <c r="C1129" s="287"/>
      <c r="D1129" s="285"/>
      <c r="E1129" s="287"/>
      <c r="F1129" s="7"/>
      <c r="G1129" s="287"/>
      <c r="H1129" s="7"/>
      <c r="I1129" s="287"/>
      <c r="J1129" s="287"/>
      <c r="K1129" s="28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</row>
    <row r="1130" ht="18.0" customHeight="1">
      <c r="A1130" s="287"/>
      <c r="B1130" s="373"/>
      <c r="C1130" s="287"/>
      <c r="D1130" s="285"/>
      <c r="E1130" s="287"/>
      <c r="F1130" s="7"/>
      <c r="G1130" s="287"/>
      <c r="H1130" s="7"/>
      <c r="I1130" s="287"/>
      <c r="J1130" s="287"/>
      <c r="K1130" s="28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</row>
    <row r="1131" ht="18.0" customHeight="1">
      <c r="A1131" s="287"/>
      <c r="B1131" s="373"/>
      <c r="C1131" s="287"/>
      <c r="D1131" s="285"/>
      <c r="E1131" s="287"/>
      <c r="F1131" s="7"/>
      <c r="G1131" s="287"/>
      <c r="H1131" s="7"/>
      <c r="I1131" s="287"/>
      <c r="J1131" s="287"/>
      <c r="K1131" s="28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</row>
    <row r="1132" ht="18.0" customHeight="1">
      <c r="A1132" s="287"/>
      <c r="B1132" s="373"/>
      <c r="C1132" s="287"/>
      <c r="D1132" s="285"/>
      <c r="E1132" s="287"/>
      <c r="F1132" s="7"/>
      <c r="G1132" s="287"/>
      <c r="H1132" s="7"/>
      <c r="I1132" s="287"/>
      <c r="J1132" s="287"/>
      <c r="K1132" s="28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</row>
    <row r="1133" ht="18.0" customHeight="1">
      <c r="A1133" s="287"/>
      <c r="B1133" s="373"/>
      <c r="C1133" s="287"/>
      <c r="D1133" s="285"/>
      <c r="E1133" s="287"/>
      <c r="F1133" s="7"/>
      <c r="G1133" s="287"/>
      <c r="H1133" s="7"/>
      <c r="I1133" s="287"/>
      <c r="J1133" s="287"/>
      <c r="K1133" s="28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</row>
    <row r="1134" ht="18.0" customHeight="1">
      <c r="A1134" s="287"/>
      <c r="B1134" s="373"/>
      <c r="C1134" s="287"/>
      <c r="D1134" s="285"/>
      <c r="E1134" s="287"/>
      <c r="F1134" s="7"/>
      <c r="G1134" s="287"/>
      <c r="H1134" s="7"/>
      <c r="I1134" s="287"/>
      <c r="J1134" s="287"/>
      <c r="K1134" s="28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</row>
    <row r="1135" ht="18.0" customHeight="1">
      <c r="A1135" s="287"/>
      <c r="B1135" s="373"/>
      <c r="C1135" s="287"/>
      <c r="D1135" s="285"/>
      <c r="E1135" s="287"/>
      <c r="F1135" s="7"/>
      <c r="G1135" s="287"/>
      <c r="H1135" s="7"/>
      <c r="I1135" s="287"/>
      <c r="J1135" s="287"/>
      <c r="K1135" s="28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</row>
    <row r="1136" ht="18.0" customHeight="1">
      <c r="A1136" s="287"/>
      <c r="B1136" s="373"/>
      <c r="C1136" s="287"/>
      <c r="D1136" s="285"/>
      <c r="E1136" s="287"/>
      <c r="F1136" s="7"/>
      <c r="G1136" s="287"/>
      <c r="H1136" s="7"/>
      <c r="I1136" s="287"/>
      <c r="J1136" s="287"/>
      <c r="K1136" s="28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</row>
    <row r="1137" ht="18.0" customHeight="1">
      <c r="A1137" s="287"/>
      <c r="B1137" s="373"/>
      <c r="C1137" s="287"/>
      <c r="D1137" s="285"/>
      <c r="E1137" s="287"/>
      <c r="F1137" s="7"/>
      <c r="G1137" s="287"/>
      <c r="H1137" s="7"/>
      <c r="I1137" s="287"/>
      <c r="J1137" s="287"/>
      <c r="K1137" s="28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</row>
    <row r="1138" ht="18.0" customHeight="1">
      <c r="A1138" s="287"/>
      <c r="B1138" s="373"/>
      <c r="C1138" s="287"/>
      <c r="D1138" s="285"/>
      <c r="E1138" s="287"/>
      <c r="F1138" s="7"/>
      <c r="G1138" s="287"/>
      <c r="H1138" s="7"/>
      <c r="I1138" s="287"/>
      <c r="J1138" s="287"/>
      <c r="K1138" s="28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</row>
    <row r="1139" ht="18.0" customHeight="1">
      <c r="A1139" s="287"/>
      <c r="B1139" s="373"/>
      <c r="C1139" s="287"/>
      <c r="D1139" s="285"/>
      <c r="E1139" s="287"/>
      <c r="F1139" s="7"/>
      <c r="G1139" s="287"/>
      <c r="H1139" s="7"/>
      <c r="I1139" s="287"/>
      <c r="J1139" s="287"/>
      <c r="K1139" s="28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</row>
    <row r="1140" ht="18.0" customHeight="1">
      <c r="A1140" s="287"/>
      <c r="B1140" s="373"/>
      <c r="C1140" s="287"/>
      <c r="D1140" s="285"/>
      <c r="E1140" s="287"/>
      <c r="F1140" s="7"/>
      <c r="G1140" s="287"/>
      <c r="H1140" s="7"/>
      <c r="I1140" s="287"/>
      <c r="J1140" s="287"/>
      <c r="K1140" s="28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</row>
    <row r="1141" ht="18.0" customHeight="1">
      <c r="A1141" s="287"/>
      <c r="B1141" s="373"/>
      <c r="C1141" s="287"/>
      <c r="D1141" s="285"/>
      <c r="E1141" s="287"/>
      <c r="F1141" s="7"/>
      <c r="G1141" s="287"/>
      <c r="H1141" s="7"/>
      <c r="I1141" s="287"/>
      <c r="J1141" s="287"/>
      <c r="K1141" s="28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</row>
    <row r="1142" ht="18.0" customHeight="1">
      <c r="A1142" s="287"/>
      <c r="B1142" s="373"/>
      <c r="C1142" s="287"/>
      <c r="D1142" s="285"/>
      <c r="E1142" s="287"/>
      <c r="F1142" s="7"/>
      <c r="G1142" s="287"/>
      <c r="H1142" s="7"/>
      <c r="I1142" s="287"/>
      <c r="J1142" s="287"/>
      <c r="K1142" s="28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</row>
    <row r="1143" ht="18.0" customHeight="1">
      <c r="A1143" s="287"/>
      <c r="B1143" s="373"/>
      <c r="C1143" s="287"/>
      <c r="D1143" s="285"/>
      <c r="E1143" s="287"/>
      <c r="F1143" s="7"/>
      <c r="G1143" s="287"/>
      <c r="H1143" s="7"/>
      <c r="I1143" s="287"/>
      <c r="J1143" s="287"/>
      <c r="K1143" s="28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</row>
    <row r="1144" ht="18.0" customHeight="1">
      <c r="A1144" s="287"/>
      <c r="B1144" s="373"/>
      <c r="C1144" s="287"/>
      <c r="D1144" s="285"/>
      <c r="E1144" s="287"/>
      <c r="F1144" s="7"/>
      <c r="G1144" s="287"/>
      <c r="H1144" s="7"/>
      <c r="I1144" s="287"/>
      <c r="J1144" s="287"/>
      <c r="K1144" s="28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</row>
    <row r="1145" ht="18.0" customHeight="1">
      <c r="A1145" s="287"/>
      <c r="B1145" s="373"/>
      <c r="C1145" s="287"/>
      <c r="D1145" s="285"/>
      <c r="E1145" s="287"/>
      <c r="F1145" s="7"/>
      <c r="G1145" s="287"/>
      <c r="H1145" s="7"/>
      <c r="I1145" s="287"/>
      <c r="J1145" s="287"/>
      <c r="K1145" s="28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</row>
    <row r="1146" ht="18.0" customHeight="1">
      <c r="A1146" s="287"/>
      <c r="B1146" s="373"/>
      <c r="C1146" s="287"/>
      <c r="D1146" s="285"/>
      <c r="E1146" s="287"/>
      <c r="F1146" s="7"/>
      <c r="G1146" s="287"/>
      <c r="H1146" s="7"/>
      <c r="I1146" s="287"/>
      <c r="J1146" s="287"/>
      <c r="K1146" s="28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</row>
    <row r="1147" ht="18.0" customHeight="1">
      <c r="A1147" s="287"/>
      <c r="B1147" s="373"/>
      <c r="C1147" s="287"/>
      <c r="D1147" s="285"/>
      <c r="E1147" s="287"/>
      <c r="F1147" s="7"/>
      <c r="G1147" s="287"/>
      <c r="H1147" s="7"/>
      <c r="I1147" s="287"/>
      <c r="J1147" s="287"/>
      <c r="K1147" s="28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</row>
    <row r="1148" ht="18.0" customHeight="1">
      <c r="A1148" s="287"/>
      <c r="B1148" s="373"/>
      <c r="C1148" s="287"/>
      <c r="D1148" s="285"/>
      <c r="E1148" s="287"/>
      <c r="F1148" s="7"/>
      <c r="G1148" s="287"/>
      <c r="H1148" s="7"/>
      <c r="I1148" s="287"/>
      <c r="J1148" s="287"/>
      <c r="K1148" s="28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</row>
    <row r="1149" ht="18.0" customHeight="1">
      <c r="A1149" s="287"/>
      <c r="B1149" s="373"/>
      <c r="C1149" s="287"/>
      <c r="D1149" s="285"/>
      <c r="E1149" s="287"/>
      <c r="F1149" s="7"/>
      <c r="G1149" s="287"/>
      <c r="H1149" s="7"/>
      <c r="I1149" s="287"/>
      <c r="J1149" s="287"/>
      <c r="K1149" s="28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</row>
    <row r="1150" ht="18.0" customHeight="1">
      <c r="A1150" s="287"/>
      <c r="B1150" s="373"/>
      <c r="C1150" s="287"/>
      <c r="D1150" s="285"/>
      <c r="E1150" s="287"/>
      <c r="F1150" s="7"/>
      <c r="G1150" s="287"/>
      <c r="H1150" s="7"/>
      <c r="I1150" s="287"/>
      <c r="J1150" s="287"/>
      <c r="K1150" s="28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</row>
    <row r="1151" ht="18.0" customHeight="1">
      <c r="A1151" s="287"/>
      <c r="B1151" s="373"/>
      <c r="C1151" s="287"/>
      <c r="D1151" s="285"/>
      <c r="E1151" s="287"/>
      <c r="F1151" s="7"/>
      <c r="G1151" s="287"/>
      <c r="H1151" s="7"/>
      <c r="I1151" s="287"/>
      <c r="J1151" s="287"/>
      <c r="K1151" s="28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</row>
    <row r="1152" ht="18.0" customHeight="1">
      <c r="A1152" s="287"/>
      <c r="B1152" s="373"/>
      <c r="C1152" s="287"/>
      <c r="D1152" s="285"/>
      <c r="E1152" s="287"/>
      <c r="F1152" s="7"/>
      <c r="G1152" s="287"/>
      <c r="H1152" s="7"/>
      <c r="I1152" s="287"/>
      <c r="J1152" s="287"/>
      <c r="K1152" s="28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</row>
    <row r="1153" ht="18.0" customHeight="1">
      <c r="A1153" s="287"/>
      <c r="B1153" s="373"/>
      <c r="C1153" s="287"/>
      <c r="D1153" s="285"/>
      <c r="E1153" s="287"/>
      <c r="F1153" s="7"/>
      <c r="G1153" s="287"/>
      <c r="H1153" s="7"/>
      <c r="I1153" s="287"/>
      <c r="J1153" s="287"/>
      <c r="K1153" s="28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</row>
    <row r="1154" ht="18.0" customHeight="1">
      <c r="A1154" s="287"/>
      <c r="B1154" s="373"/>
      <c r="C1154" s="287"/>
      <c r="D1154" s="285"/>
      <c r="E1154" s="287"/>
      <c r="F1154" s="7"/>
      <c r="G1154" s="287"/>
      <c r="H1154" s="7"/>
      <c r="I1154" s="287"/>
      <c r="J1154" s="287"/>
      <c r="K1154" s="28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</row>
    <row r="1155" ht="18.0" customHeight="1">
      <c r="A1155" s="287"/>
      <c r="B1155" s="373"/>
      <c r="C1155" s="287"/>
      <c r="D1155" s="285"/>
      <c r="E1155" s="287"/>
      <c r="F1155" s="7"/>
      <c r="G1155" s="287"/>
      <c r="H1155" s="7"/>
      <c r="I1155" s="287"/>
      <c r="J1155" s="287"/>
      <c r="K1155" s="28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</row>
    <row r="1156" ht="18.0" customHeight="1">
      <c r="A1156" s="287"/>
      <c r="B1156" s="373"/>
      <c r="C1156" s="287"/>
      <c r="D1156" s="285"/>
      <c r="E1156" s="287"/>
      <c r="F1156" s="7"/>
      <c r="G1156" s="287"/>
      <c r="H1156" s="7"/>
      <c r="I1156" s="287"/>
      <c r="J1156" s="287"/>
      <c r="K1156" s="28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</row>
    <row r="1157" ht="18.0" customHeight="1">
      <c r="A1157" s="287"/>
      <c r="B1157" s="373"/>
      <c r="C1157" s="287"/>
      <c r="D1157" s="285"/>
      <c r="E1157" s="287"/>
      <c r="F1157" s="7"/>
      <c r="G1157" s="287"/>
      <c r="H1157" s="7"/>
      <c r="I1157" s="287"/>
      <c r="J1157" s="287"/>
      <c r="K1157" s="28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</row>
    <row r="1158" ht="18.0" customHeight="1">
      <c r="A1158" s="287"/>
      <c r="B1158" s="373"/>
      <c r="C1158" s="287"/>
      <c r="D1158" s="285"/>
      <c r="E1158" s="287"/>
      <c r="F1158" s="7"/>
      <c r="G1158" s="287"/>
      <c r="H1158" s="7"/>
      <c r="I1158" s="287"/>
      <c r="J1158" s="287"/>
      <c r="K1158" s="28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</row>
    <row r="1159" ht="18.0" customHeight="1">
      <c r="A1159" s="287"/>
      <c r="B1159" s="373"/>
      <c r="C1159" s="287"/>
      <c r="D1159" s="285"/>
      <c r="E1159" s="287"/>
      <c r="F1159" s="7"/>
      <c r="G1159" s="287"/>
      <c r="H1159" s="7"/>
      <c r="I1159" s="287"/>
      <c r="J1159" s="287"/>
      <c r="K1159" s="28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</row>
    <row r="1160" ht="18.0" customHeight="1">
      <c r="A1160" s="287"/>
      <c r="B1160" s="373"/>
      <c r="C1160" s="287"/>
      <c r="D1160" s="285"/>
      <c r="E1160" s="287"/>
      <c r="F1160" s="7"/>
      <c r="G1160" s="287"/>
      <c r="H1160" s="7"/>
      <c r="I1160" s="287"/>
      <c r="J1160" s="287"/>
      <c r="K1160" s="28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</row>
    <row r="1161" ht="18.0" customHeight="1">
      <c r="A1161" s="287"/>
      <c r="B1161" s="373"/>
      <c r="C1161" s="287"/>
      <c r="D1161" s="285"/>
      <c r="E1161" s="287"/>
      <c r="F1161" s="7"/>
      <c r="G1161" s="287"/>
      <c r="H1161" s="7"/>
      <c r="I1161" s="287"/>
      <c r="J1161" s="287"/>
      <c r="K1161" s="28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</row>
    <row r="1162" ht="18.0" customHeight="1">
      <c r="A1162" s="287"/>
      <c r="B1162" s="373"/>
      <c r="C1162" s="287"/>
      <c r="D1162" s="285"/>
      <c r="E1162" s="287"/>
      <c r="F1162" s="7"/>
      <c r="G1162" s="287"/>
      <c r="H1162" s="7"/>
      <c r="I1162" s="287"/>
      <c r="J1162" s="287"/>
      <c r="K1162" s="28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</row>
    <row r="1163" ht="18.0" customHeight="1">
      <c r="A1163" s="287"/>
      <c r="B1163" s="373"/>
      <c r="C1163" s="287"/>
      <c r="D1163" s="285"/>
      <c r="E1163" s="287"/>
      <c r="F1163" s="7"/>
      <c r="G1163" s="287"/>
      <c r="H1163" s="7"/>
      <c r="I1163" s="287"/>
      <c r="J1163" s="287"/>
      <c r="K1163" s="28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</row>
    <row r="1164" ht="18.0" customHeight="1">
      <c r="A1164" s="287"/>
      <c r="B1164" s="373"/>
      <c r="C1164" s="287"/>
      <c r="D1164" s="285"/>
      <c r="E1164" s="287"/>
      <c r="F1164" s="7"/>
      <c r="G1164" s="287"/>
      <c r="H1164" s="7"/>
      <c r="I1164" s="287"/>
      <c r="J1164" s="287"/>
      <c r="K1164" s="28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</row>
    <row r="1165" ht="18.0" customHeight="1">
      <c r="A1165" s="287"/>
      <c r="B1165" s="373"/>
      <c r="C1165" s="287"/>
      <c r="D1165" s="285"/>
      <c r="E1165" s="287"/>
      <c r="F1165" s="7"/>
      <c r="G1165" s="287"/>
      <c r="H1165" s="7"/>
      <c r="I1165" s="287"/>
      <c r="J1165" s="287"/>
      <c r="K1165" s="28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</row>
    <row r="1166" ht="18.0" customHeight="1">
      <c r="A1166" s="287"/>
      <c r="B1166" s="373"/>
      <c r="C1166" s="287"/>
      <c r="D1166" s="285"/>
      <c r="E1166" s="287"/>
      <c r="F1166" s="7"/>
      <c r="G1166" s="287"/>
      <c r="H1166" s="7"/>
      <c r="I1166" s="287"/>
      <c r="J1166" s="287"/>
      <c r="K1166" s="28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</row>
    <row r="1167" ht="18.0" customHeight="1">
      <c r="A1167" s="287"/>
      <c r="B1167" s="373"/>
      <c r="C1167" s="287"/>
      <c r="D1167" s="285"/>
      <c r="E1167" s="287"/>
      <c r="F1167" s="7"/>
      <c r="G1167" s="287"/>
      <c r="H1167" s="7"/>
      <c r="I1167" s="287"/>
      <c r="J1167" s="287"/>
      <c r="K1167" s="28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</row>
    <row r="1168" ht="18.0" customHeight="1">
      <c r="A1168" s="287"/>
      <c r="B1168" s="373"/>
      <c r="C1168" s="287"/>
      <c r="D1168" s="285"/>
      <c r="E1168" s="287"/>
      <c r="F1168" s="7"/>
      <c r="G1168" s="287"/>
      <c r="H1168" s="7"/>
      <c r="I1168" s="287"/>
      <c r="J1168" s="287"/>
      <c r="K1168" s="28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</row>
    <row r="1169" ht="18.0" customHeight="1">
      <c r="A1169" s="287"/>
      <c r="B1169" s="373"/>
      <c r="C1169" s="287"/>
      <c r="D1169" s="285"/>
      <c r="E1169" s="287"/>
      <c r="F1169" s="7"/>
      <c r="G1169" s="287"/>
      <c r="H1169" s="7"/>
      <c r="I1169" s="287"/>
      <c r="J1169" s="287"/>
      <c r="K1169" s="28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</row>
    <row r="1170" ht="18.0" customHeight="1">
      <c r="A1170" s="287"/>
      <c r="B1170" s="373"/>
      <c r="C1170" s="287"/>
      <c r="D1170" s="285"/>
      <c r="E1170" s="287"/>
      <c r="F1170" s="7"/>
      <c r="G1170" s="287"/>
      <c r="H1170" s="7"/>
      <c r="I1170" s="287"/>
      <c r="J1170" s="287"/>
      <c r="K1170" s="28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</row>
    <row r="1171" ht="18.0" customHeight="1">
      <c r="A1171" s="287"/>
      <c r="B1171" s="373"/>
      <c r="C1171" s="287"/>
      <c r="D1171" s="285"/>
      <c r="E1171" s="287"/>
      <c r="F1171" s="7"/>
      <c r="G1171" s="287"/>
      <c r="H1171" s="7"/>
      <c r="I1171" s="287"/>
      <c r="J1171" s="287"/>
      <c r="K1171" s="28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</row>
    <row r="1172" ht="18.0" customHeight="1">
      <c r="A1172" s="287"/>
      <c r="B1172" s="373"/>
      <c r="C1172" s="287"/>
      <c r="D1172" s="285"/>
      <c r="E1172" s="287"/>
      <c r="F1172" s="7"/>
      <c r="G1172" s="287"/>
      <c r="H1172" s="7"/>
      <c r="I1172" s="287"/>
      <c r="J1172" s="287"/>
      <c r="K1172" s="28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</row>
    <row r="1173" ht="18.0" customHeight="1">
      <c r="A1173" s="287"/>
      <c r="B1173" s="373"/>
      <c r="C1173" s="287"/>
      <c r="D1173" s="285"/>
      <c r="E1173" s="287"/>
      <c r="F1173" s="7"/>
      <c r="G1173" s="287"/>
      <c r="H1173" s="7"/>
      <c r="I1173" s="287"/>
      <c r="J1173" s="287"/>
      <c r="K1173" s="28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</row>
    <row r="1174" ht="18.0" customHeight="1">
      <c r="A1174" s="287"/>
      <c r="B1174" s="373"/>
      <c r="C1174" s="287"/>
      <c r="D1174" s="285"/>
      <c r="E1174" s="287"/>
      <c r="F1174" s="7"/>
      <c r="G1174" s="287"/>
      <c r="H1174" s="7"/>
      <c r="I1174" s="287"/>
      <c r="J1174" s="287"/>
      <c r="K1174" s="28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</row>
    <row r="1175" ht="18.0" customHeight="1">
      <c r="A1175" s="287"/>
      <c r="B1175" s="373"/>
      <c r="C1175" s="287"/>
      <c r="D1175" s="285"/>
      <c r="E1175" s="287"/>
      <c r="F1175" s="7"/>
      <c r="G1175" s="287"/>
      <c r="H1175" s="7"/>
      <c r="I1175" s="287"/>
      <c r="J1175" s="287"/>
      <c r="K1175" s="28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</row>
    <row r="1176" ht="18.0" customHeight="1">
      <c r="A1176" s="287"/>
      <c r="B1176" s="373"/>
      <c r="C1176" s="287"/>
      <c r="D1176" s="285"/>
      <c r="E1176" s="287"/>
      <c r="F1176" s="7"/>
      <c r="G1176" s="287"/>
      <c r="H1176" s="7"/>
      <c r="I1176" s="287"/>
      <c r="J1176" s="287"/>
      <c r="K1176" s="28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</row>
    <row r="1177" ht="18.0" customHeight="1">
      <c r="A1177" s="287"/>
      <c r="B1177" s="373"/>
      <c r="C1177" s="287"/>
      <c r="D1177" s="285"/>
      <c r="E1177" s="287"/>
      <c r="F1177" s="7"/>
      <c r="G1177" s="287"/>
      <c r="H1177" s="7"/>
      <c r="I1177" s="287"/>
      <c r="J1177" s="287"/>
      <c r="K1177" s="28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</row>
    <row r="1178" ht="18.0" customHeight="1">
      <c r="A1178" s="287"/>
      <c r="B1178" s="373"/>
      <c r="C1178" s="287"/>
      <c r="D1178" s="285"/>
      <c r="E1178" s="287"/>
      <c r="F1178" s="7"/>
      <c r="G1178" s="287"/>
      <c r="H1178" s="7"/>
      <c r="I1178" s="287"/>
      <c r="J1178" s="287"/>
      <c r="K1178" s="28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</row>
    <row r="1179" ht="18.0" customHeight="1">
      <c r="A1179" s="287"/>
      <c r="B1179" s="373"/>
      <c r="C1179" s="287"/>
      <c r="D1179" s="285"/>
      <c r="E1179" s="287"/>
      <c r="F1179" s="7"/>
      <c r="G1179" s="287"/>
      <c r="H1179" s="7"/>
      <c r="I1179" s="287"/>
      <c r="J1179" s="287"/>
      <c r="K1179" s="28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</row>
    <row r="1180" ht="18.0" customHeight="1">
      <c r="A1180" s="287"/>
      <c r="B1180" s="373"/>
      <c r="C1180" s="287"/>
      <c r="D1180" s="285"/>
      <c r="E1180" s="287"/>
      <c r="F1180" s="7"/>
      <c r="G1180" s="287"/>
      <c r="H1180" s="7"/>
      <c r="I1180" s="287"/>
      <c r="J1180" s="287"/>
      <c r="K1180" s="28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</row>
    <row r="1181" ht="18.0" customHeight="1">
      <c r="A1181" s="287"/>
      <c r="B1181" s="373"/>
      <c r="C1181" s="287"/>
      <c r="D1181" s="285"/>
      <c r="E1181" s="287"/>
      <c r="F1181" s="7"/>
      <c r="G1181" s="287"/>
      <c r="H1181" s="7"/>
      <c r="I1181" s="287"/>
      <c r="J1181" s="287"/>
      <c r="K1181" s="28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</row>
    <row r="1182" ht="18.0" customHeight="1">
      <c r="A1182" s="287"/>
      <c r="B1182" s="373"/>
      <c r="C1182" s="287"/>
      <c r="D1182" s="285"/>
      <c r="E1182" s="287"/>
      <c r="F1182" s="7"/>
      <c r="G1182" s="287"/>
      <c r="H1182" s="7"/>
      <c r="I1182" s="287"/>
      <c r="J1182" s="287"/>
      <c r="K1182" s="28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</row>
    <row r="1183" ht="18.0" customHeight="1">
      <c r="A1183" s="287"/>
      <c r="B1183" s="373"/>
      <c r="C1183" s="287"/>
      <c r="D1183" s="285"/>
      <c r="E1183" s="287"/>
      <c r="F1183" s="7"/>
      <c r="G1183" s="287"/>
      <c r="H1183" s="7"/>
      <c r="I1183" s="287"/>
      <c r="J1183" s="287"/>
      <c r="K1183" s="28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</row>
    <row r="1184" ht="18.0" customHeight="1">
      <c r="A1184" s="287"/>
      <c r="B1184" s="373"/>
      <c r="C1184" s="287"/>
      <c r="D1184" s="285"/>
      <c r="E1184" s="287"/>
      <c r="F1184" s="7"/>
      <c r="G1184" s="287"/>
      <c r="H1184" s="7"/>
      <c r="I1184" s="287"/>
      <c r="J1184" s="287"/>
      <c r="K1184" s="28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</row>
    <row r="1185" ht="18.0" customHeight="1">
      <c r="A1185" s="287"/>
      <c r="B1185" s="373"/>
      <c r="C1185" s="287"/>
      <c r="D1185" s="285"/>
      <c r="E1185" s="287"/>
      <c r="F1185" s="7"/>
      <c r="G1185" s="287"/>
      <c r="H1185" s="7"/>
      <c r="I1185" s="287"/>
      <c r="J1185" s="287"/>
      <c r="K1185" s="28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</row>
    <row r="1186" ht="18.0" customHeight="1">
      <c r="A1186" s="287"/>
      <c r="B1186" s="373"/>
      <c r="C1186" s="287"/>
      <c r="D1186" s="285"/>
      <c r="E1186" s="287"/>
      <c r="F1186" s="7"/>
      <c r="G1186" s="287"/>
      <c r="H1186" s="7"/>
      <c r="I1186" s="287"/>
      <c r="J1186" s="287"/>
      <c r="K1186" s="28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</row>
    <row r="1187" ht="18.0" customHeight="1">
      <c r="A1187" s="287"/>
      <c r="B1187" s="373"/>
      <c r="C1187" s="287"/>
      <c r="D1187" s="285"/>
      <c r="E1187" s="287"/>
      <c r="F1187" s="7"/>
      <c r="G1187" s="287"/>
      <c r="H1187" s="7"/>
      <c r="I1187" s="287"/>
      <c r="J1187" s="287"/>
      <c r="K1187" s="28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</row>
    <row r="1188" ht="18.0" customHeight="1">
      <c r="A1188" s="287"/>
      <c r="B1188" s="373"/>
      <c r="C1188" s="287"/>
      <c r="D1188" s="285"/>
      <c r="E1188" s="287"/>
      <c r="F1188" s="7"/>
      <c r="G1188" s="287"/>
      <c r="H1188" s="7"/>
      <c r="I1188" s="287"/>
      <c r="J1188" s="287"/>
      <c r="K1188" s="28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</row>
    <row r="1189" ht="18.0" customHeight="1">
      <c r="A1189" s="287"/>
      <c r="B1189" s="373"/>
      <c r="C1189" s="287"/>
      <c r="D1189" s="285"/>
      <c r="E1189" s="287"/>
      <c r="F1189" s="7"/>
      <c r="G1189" s="287"/>
      <c r="H1189" s="7"/>
      <c r="I1189" s="287"/>
      <c r="J1189" s="287"/>
      <c r="K1189" s="28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</row>
    <row r="1190" ht="18.0" customHeight="1">
      <c r="A1190" s="287"/>
      <c r="B1190" s="373"/>
      <c r="C1190" s="287"/>
      <c r="D1190" s="285"/>
      <c r="E1190" s="287"/>
      <c r="F1190" s="7"/>
      <c r="G1190" s="287"/>
      <c r="H1190" s="7"/>
      <c r="I1190" s="287"/>
      <c r="J1190" s="287"/>
      <c r="K1190" s="28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</row>
    <row r="1191" ht="18.0" customHeight="1">
      <c r="A1191" s="287"/>
      <c r="B1191" s="373"/>
      <c r="C1191" s="287"/>
      <c r="D1191" s="285"/>
      <c r="E1191" s="287"/>
      <c r="F1191" s="7"/>
      <c r="G1191" s="287"/>
      <c r="H1191" s="7"/>
      <c r="I1191" s="287"/>
      <c r="J1191" s="287"/>
      <c r="K1191" s="28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</row>
    <row r="1192" ht="18.0" customHeight="1">
      <c r="A1192" s="287"/>
      <c r="B1192" s="373"/>
      <c r="C1192" s="287"/>
      <c r="D1192" s="285"/>
      <c r="E1192" s="287"/>
      <c r="F1192" s="7"/>
      <c r="G1192" s="287"/>
      <c r="H1192" s="7"/>
      <c r="I1192" s="287"/>
      <c r="J1192" s="287"/>
      <c r="K1192" s="28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</row>
    <row r="1193" ht="18.0" customHeight="1">
      <c r="A1193" s="287"/>
      <c r="B1193" s="373"/>
      <c r="C1193" s="287"/>
      <c r="D1193" s="285"/>
      <c r="E1193" s="287"/>
      <c r="F1193" s="7"/>
      <c r="G1193" s="287"/>
      <c r="H1193" s="7"/>
      <c r="I1193" s="287"/>
      <c r="J1193" s="287"/>
      <c r="K1193" s="28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</row>
    <row r="1194" ht="18.0" customHeight="1">
      <c r="A1194" s="287"/>
      <c r="B1194" s="373"/>
      <c r="C1194" s="287"/>
      <c r="D1194" s="285"/>
      <c r="E1194" s="287"/>
      <c r="F1194" s="7"/>
      <c r="G1194" s="287"/>
      <c r="H1194" s="7"/>
      <c r="I1194" s="287"/>
      <c r="J1194" s="287"/>
      <c r="K1194" s="28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</row>
    <row r="1195" ht="18.0" customHeight="1">
      <c r="A1195" s="287"/>
      <c r="B1195" s="373"/>
      <c r="C1195" s="287"/>
      <c r="D1195" s="285"/>
      <c r="E1195" s="287"/>
      <c r="F1195" s="7"/>
      <c r="G1195" s="287"/>
      <c r="H1195" s="7"/>
      <c r="I1195" s="287"/>
      <c r="J1195" s="287"/>
      <c r="K1195" s="28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</row>
    <row r="1196" ht="18.0" customHeight="1">
      <c r="A1196" s="287"/>
      <c r="B1196" s="373"/>
      <c r="C1196" s="287"/>
      <c r="D1196" s="285"/>
      <c r="E1196" s="287"/>
      <c r="F1196" s="7"/>
      <c r="G1196" s="287"/>
      <c r="H1196" s="7"/>
      <c r="I1196" s="287"/>
      <c r="J1196" s="287"/>
      <c r="K1196" s="28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</row>
    <row r="1197" ht="18.0" customHeight="1">
      <c r="A1197" s="287"/>
      <c r="B1197" s="373"/>
      <c r="C1197" s="287"/>
      <c r="D1197" s="285"/>
      <c r="E1197" s="287"/>
      <c r="F1197" s="7"/>
      <c r="G1197" s="287"/>
      <c r="H1197" s="7"/>
      <c r="I1197" s="287"/>
      <c r="J1197" s="287"/>
      <c r="K1197" s="28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</row>
    <row r="1198" ht="18.0" customHeight="1">
      <c r="A1198" s="287"/>
      <c r="B1198" s="373"/>
      <c r="C1198" s="287"/>
      <c r="D1198" s="285"/>
      <c r="E1198" s="287"/>
      <c r="F1198" s="7"/>
      <c r="G1198" s="287"/>
      <c r="H1198" s="7"/>
      <c r="I1198" s="287"/>
      <c r="J1198" s="287"/>
      <c r="K1198" s="28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</row>
    <row r="1199" ht="18.0" customHeight="1">
      <c r="A1199" s="287"/>
      <c r="B1199" s="373"/>
      <c r="C1199" s="287"/>
      <c r="D1199" s="285"/>
      <c r="E1199" s="287"/>
      <c r="F1199" s="7"/>
      <c r="G1199" s="287"/>
      <c r="H1199" s="7"/>
      <c r="I1199" s="287"/>
      <c r="J1199" s="287"/>
      <c r="K1199" s="28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</row>
    <row r="1200" ht="18.0" customHeight="1">
      <c r="A1200" s="287"/>
      <c r="B1200" s="373"/>
      <c r="C1200" s="287"/>
      <c r="D1200" s="285"/>
      <c r="E1200" s="287"/>
      <c r="F1200" s="7"/>
      <c r="G1200" s="287"/>
      <c r="H1200" s="7"/>
      <c r="I1200" s="287"/>
      <c r="J1200" s="287"/>
      <c r="K1200" s="28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</row>
    <row r="1201" ht="18.0" customHeight="1">
      <c r="A1201" s="287"/>
      <c r="B1201" s="373"/>
      <c r="C1201" s="287"/>
      <c r="D1201" s="285"/>
      <c r="E1201" s="287"/>
      <c r="F1201" s="7"/>
      <c r="G1201" s="287"/>
      <c r="H1201" s="7"/>
      <c r="I1201" s="287"/>
      <c r="J1201" s="287"/>
      <c r="K1201" s="28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</row>
    <row r="1202" ht="18.0" customHeight="1">
      <c r="A1202" s="287"/>
      <c r="B1202" s="373"/>
      <c r="C1202" s="287"/>
      <c r="D1202" s="285"/>
      <c r="E1202" s="287"/>
      <c r="F1202" s="7"/>
      <c r="G1202" s="287"/>
      <c r="H1202" s="7"/>
      <c r="I1202" s="287"/>
      <c r="J1202" s="287"/>
      <c r="K1202" s="28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</row>
    <row r="1203" ht="18.0" customHeight="1">
      <c r="A1203" s="287"/>
      <c r="B1203" s="373"/>
      <c r="C1203" s="287"/>
      <c r="D1203" s="285"/>
      <c r="E1203" s="287"/>
      <c r="F1203" s="7"/>
      <c r="G1203" s="287"/>
      <c r="H1203" s="7"/>
      <c r="I1203" s="287"/>
      <c r="J1203" s="287"/>
      <c r="K1203" s="28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</row>
    <row r="1204" ht="18.0" customHeight="1">
      <c r="A1204" s="287"/>
      <c r="B1204" s="373"/>
      <c r="C1204" s="287"/>
      <c r="D1204" s="285"/>
      <c r="E1204" s="287"/>
      <c r="F1204" s="7"/>
      <c r="G1204" s="287"/>
      <c r="H1204" s="7"/>
      <c r="I1204" s="287"/>
      <c r="J1204" s="287"/>
      <c r="K1204" s="28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</row>
    <row r="1205" ht="18.0" customHeight="1">
      <c r="A1205" s="287"/>
      <c r="B1205" s="373"/>
      <c r="C1205" s="287"/>
      <c r="D1205" s="285"/>
      <c r="E1205" s="287"/>
      <c r="F1205" s="7"/>
      <c r="G1205" s="287"/>
      <c r="H1205" s="7"/>
      <c r="I1205" s="287"/>
      <c r="J1205" s="287"/>
      <c r="K1205" s="28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</row>
    <row r="1206" ht="18.0" customHeight="1">
      <c r="A1206" s="287"/>
      <c r="B1206" s="373"/>
      <c r="C1206" s="287"/>
      <c r="D1206" s="285"/>
      <c r="E1206" s="287"/>
      <c r="F1206" s="7"/>
      <c r="G1206" s="287"/>
      <c r="H1206" s="7"/>
      <c r="I1206" s="287"/>
      <c r="J1206" s="287"/>
      <c r="K1206" s="28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</row>
    <row r="1207" ht="18.0" customHeight="1">
      <c r="A1207" s="287"/>
      <c r="B1207" s="373"/>
      <c r="C1207" s="287"/>
      <c r="D1207" s="285"/>
      <c r="E1207" s="287"/>
      <c r="F1207" s="7"/>
      <c r="G1207" s="287"/>
      <c r="H1207" s="7"/>
      <c r="I1207" s="287"/>
      <c r="J1207" s="287"/>
      <c r="K1207" s="28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</row>
    <row r="1208" ht="18.0" customHeight="1">
      <c r="A1208" s="287"/>
      <c r="B1208" s="373"/>
      <c r="C1208" s="287"/>
      <c r="D1208" s="285"/>
      <c r="E1208" s="287"/>
      <c r="F1208" s="7"/>
      <c r="G1208" s="287"/>
      <c r="H1208" s="7"/>
      <c r="I1208" s="287"/>
      <c r="J1208" s="287"/>
      <c r="K1208" s="28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</row>
    <row r="1209" ht="18.0" customHeight="1">
      <c r="A1209" s="287"/>
      <c r="B1209" s="373"/>
      <c r="C1209" s="287"/>
      <c r="D1209" s="285"/>
      <c r="E1209" s="287"/>
      <c r="F1209" s="7"/>
      <c r="G1209" s="287"/>
      <c r="H1209" s="7"/>
      <c r="I1209" s="287"/>
      <c r="J1209" s="287"/>
      <c r="K1209" s="28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</row>
    <row r="1210" ht="18.0" customHeight="1">
      <c r="A1210" s="287"/>
      <c r="B1210" s="373"/>
      <c r="C1210" s="287"/>
      <c r="D1210" s="285"/>
      <c r="E1210" s="287"/>
      <c r="F1210" s="7"/>
      <c r="G1210" s="287"/>
      <c r="H1210" s="7"/>
      <c r="I1210" s="287"/>
      <c r="J1210" s="287"/>
      <c r="K1210" s="28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</row>
    <row r="1211" ht="18.0" customHeight="1">
      <c r="A1211" s="287"/>
      <c r="B1211" s="373"/>
      <c r="C1211" s="287"/>
      <c r="D1211" s="285"/>
      <c r="E1211" s="287"/>
      <c r="F1211" s="7"/>
      <c r="G1211" s="287"/>
      <c r="H1211" s="7"/>
      <c r="I1211" s="287"/>
      <c r="J1211" s="287"/>
      <c r="K1211" s="28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</row>
    <row r="1212" ht="18.0" customHeight="1">
      <c r="A1212" s="287"/>
      <c r="B1212" s="373"/>
      <c r="C1212" s="287"/>
      <c r="D1212" s="285"/>
      <c r="E1212" s="287"/>
      <c r="F1212" s="7"/>
      <c r="G1212" s="287"/>
      <c r="H1212" s="7"/>
      <c r="I1212" s="287"/>
      <c r="J1212" s="287"/>
      <c r="K1212" s="28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</row>
    <row r="1213" ht="18.0" customHeight="1">
      <c r="A1213" s="287"/>
      <c r="B1213" s="373"/>
      <c r="C1213" s="287"/>
      <c r="D1213" s="285"/>
      <c r="E1213" s="287"/>
      <c r="F1213" s="7"/>
      <c r="G1213" s="287"/>
      <c r="H1213" s="7"/>
      <c r="I1213" s="287"/>
      <c r="J1213" s="287"/>
      <c r="K1213" s="28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</row>
    <row r="1214" ht="18.0" customHeight="1">
      <c r="A1214" s="287"/>
      <c r="B1214" s="373"/>
      <c r="C1214" s="287"/>
      <c r="D1214" s="285"/>
      <c r="E1214" s="287"/>
      <c r="F1214" s="7"/>
      <c r="G1214" s="287"/>
      <c r="H1214" s="7"/>
      <c r="I1214" s="287"/>
      <c r="J1214" s="287"/>
      <c r="K1214" s="28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</row>
    <row r="1215" ht="18.0" customHeight="1">
      <c r="A1215" s="287"/>
      <c r="B1215" s="373"/>
      <c r="C1215" s="287"/>
      <c r="D1215" s="285"/>
      <c r="E1215" s="287"/>
      <c r="F1215" s="7"/>
      <c r="G1215" s="287"/>
      <c r="H1215" s="7"/>
      <c r="I1215" s="287"/>
      <c r="J1215" s="287"/>
      <c r="K1215" s="28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</row>
    <row r="1216" ht="18.0" customHeight="1">
      <c r="A1216" s="287"/>
      <c r="B1216" s="373"/>
      <c r="C1216" s="287"/>
      <c r="D1216" s="285"/>
      <c r="E1216" s="287"/>
      <c r="F1216" s="7"/>
      <c r="G1216" s="287"/>
      <c r="H1216" s="7"/>
      <c r="I1216" s="287"/>
      <c r="J1216" s="287"/>
      <c r="K1216" s="28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</row>
    <row r="1217" ht="18.0" customHeight="1">
      <c r="A1217" s="287"/>
      <c r="B1217" s="373"/>
      <c r="C1217" s="287"/>
      <c r="D1217" s="285"/>
      <c r="E1217" s="287"/>
      <c r="F1217" s="7"/>
      <c r="G1217" s="287"/>
      <c r="H1217" s="7"/>
      <c r="I1217" s="287"/>
      <c r="J1217" s="287"/>
      <c r="K1217" s="28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</row>
    <row r="1218" ht="18.0" customHeight="1">
      <c r="A1218" s="287"/>
      <c r="B1218" s="373"/>
      <c r="C1218" s="287"/>
      <c r="D1218" s="285"/>
      <c r="E1218" s="287"/>
      <c r="F1218" s="7"/>
      <c r="G1218" s="287"/>
      <c r="H1218" s="7"/>
      <c r="I1218" s="287"/>
      <c r="J1218" s="287"/>
      <c r="K1218" s="28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</row>
    <row r="1219" ht="18.0" customHeight="1">
      <c r="A1219" s="287"/>
      <c r="B1219" s="373"/>
      <c r="C1219" s="287"/>
      <c r="D1219" s="285"/>
      <c r="E1219" s="287"/>
      <c r="F1219" s="7"/>
      <c r="G1219" s="287"/>
      <c r="H1219" s="7"/>
      <c r="I1219" s="287"/>
      <c r="J1219" s="287"/>
      <c r="K1219" s="28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</row>
    <row r="1220" ht="18.0" customHeight="1">
      <c r="A1220" s="287"/>
      <c r="B1220" s="373"/>
      <c r="C1220" s="287"/>
      <c r="D1220" s="285"/>
      <c r="E1220" s="287"/>
      <c r="F1220" s="7"/>
      <c r="G1220" s="287"/>
      <c r="H1220" s="7"/>
      <c r="I1220" s="287"/>
      <c r="J1220" s="287"/>
      <c r="K1220" s="28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</row>
    <row r="1221" ht="18.0" customHeight="1">
      <c r="A1221" s="287"/>
      <c r="B1221" s="373"/>
      <c r="C1221" s="287"/>
      <c r="D1221" s="285"/>
      <c r="E1221" s="287"/>
      <c r="F1221" s="7"/>
      <c r="G1221" s="287"/>
      <c r="H1221" s="7"/>
      <c r="I1221" s="287"/>
      <c r="J1221" s="287"/>
      <c r="K1221" s="28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</row>
    <row r="1222" ht="18.0" customHeight="1">
      <c r="A1222" s="287"/>
      <c r="B1222" s="373"/>
      <c r="C1222" s="287"/>
      <c r="D1222" s="285"/>
      <c r="E1222" s="287"/>
      <c r="F1222" s="7"/>
      <c r="G1222" s="287"/>
      <c r="H1222" s="7"/>
      <c r="I1222" s="287"/>
      <c r="J1222" s="287"/>
      <c r="K1222" s="28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</row>
    <row r="1223" ht="18.0" customHeight="1">
      <c r="A1223" s="287"/>
      <c r="B1223" s="373"/>
      <c r="C1223" s="287"/>
      <c r="D1223" s="285"/>
      <c r="E1223" s="287"/>
      <c r="F1223" s="7"/>
      <c r="G1223" s="287"/>
      <c r="H1223" s="7"/>
      <c r="I1223" s="287"/>
      <c r="J1223" s="287"/>
      <c r="K1223" s="28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</row>
    <row r="1224" ht="18.0" customHeight="1">
      <c r="A1224" s="287"/>
      <c r="B1224" s="373"/>
      <c r="C1224" s="287"/>
      <c r="D1224" s="285"/>
      <c r="E1224" s="287"/>
      <c r="F1224" s="7"/>
      <c r="G1224" s="287"/>
      <c r="H1224" s="7"/>
      <c r="I1224" s="287"/>
      <c r="J1224" s="287"/>
      <c r="K1224" s="28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</row>
    <row r="1225" ht="18.0" customHeight="1">
      <c r="A1225" s="287"/>
      <c r="B1225" s="373"/>
      <c r="C1225" s="287"/>
      <c r="D1225" s="285"/>
      <c r="E1225" s="287"/>
      <c r="F1225" s="7"/>
      <c r="G1225" s="287"/>
      <c r="H1225" s="7"/>
      <c r="I1225" s="287"/>
      <c r="J1225" s="287"/>
      <c r="K1225" s="28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</row>
    <row r="1226" ht="18.0" customHeight="1">
      <c r="A1226" s="287"/>
      <c r="B1226" s="373"/>
      <c r="C1226" s="287"/>
      <c r="D1226" s="285"/>
      <c r="E1226" s="287"/>
      <c r="F1226" s="7"/>
      <c r="G1226" s="287"/>
      <c r="H1226" s="7"/>
      <c r="I1226" s="287"/>
      <c r="J1226" s="287"/>
      <c r="K1226" s="28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</row>
    <row r="1227" ht="18.0" customHeight="1">
      <c r="A1227" s="287"/>
      <c r="B1227" s="373"/>
      <c r="C1227" s="287"/>
      <c r="D1227" s="285"/>
      <c r="E1227" s="287"/>
      <c r="F1227" s="7"/>
      <c r="G1227" s="287"/>
      <c r="H1227" s="7"/>
      <c r="I1227" s="287"/>
      <c r="J1227" s="287"/>
      <c r="K1227" s="28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</row>
    <row r="1228" ht="18.0" customHeight="1">
      <c r="A1228" s="287"/>
      <c r="B1228" s="373"/>
      <c r="C1228" s="287"/>
      <c r="D1228" s="285"/>
      <c r="E1228" s="287"/>
      <c r="F1228" s="7"/>
      <c r="G1228" s="287"/>
      <c r="H1228" s="7"/>
      <c r="I1228" s="287"/>
      <c r="J1228" s="287"/>
      <c r="K1228" s="28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</row>
    <row r="1229" ht="18.0" customHeight="1">
      <c r="A1229" s="287"/>
      <c r="B1229" s="373"/>
      <c r="C1229" s="287"/>
      <c r="D1229" s="285"/>
      <c r="E1229" s="287"/>
      <c r="F1229" s="7"/>
      <c r="G1229" s="287"/>
      <c r="H1229" s="7"/>
      <c r="I1229" s="287"/>
      <c r="J1229" s="287"/>
      <c r="K1229" s="28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</row>
    <row r="1230" ht="18.0" customHeight="1">
      <c r="A1230" s="287"/>
      <c r="B1230" s="373"/>
      <c r="C1230" s="287"/>
      <c r="D1230" s="285"/>
      <c r="E1230" s="287"/>
      <c r="F1230" s="7"/>
      <c r="G1230" s="287"/>
      <c r="H1230" s="7"/>
      <c r="I1230" s="287"/>
      <c r="J1230" s="287"/>
      <c r="K1230" s="28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</row>
    <row r="1231" ht="18.0" customHeight="1">
      <c r="A1231" s="287"/>
      <c r="B1231" s="373"/>
      <c r="C1231" s="287"/>
      <c r="D1231" s="285"/>
      <c r="E1231" s="287"/>
      <c r="F1231" s="7"/>
      <c r="G1231" s="287"/>
      <c r="H1231" s="7"/>
      <c r="I1231" s="287"/>
      <c r="J1231" s="287"/>
      <c r="K1231" s="28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</row>
    <row r="1232" ht="18.0" customHeight="1">
      <c r="A1232" s="287"/>
      <c r="B1232" s="373"/>
      <c r="C1232" s="287"/>
      <c r="D1232" s="285"/>
      <c r="E1232" s="287"/>
      <c r="F1232" s="7"/>
      <c r="G1232" s="287"/>
      <c r="H1232" s="7"/>
      <c r="I1232" s="287"/>
      <c r="J1232" s="287"/>
      <c r="K1232" s="28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</row>
    <row r="1233" ht="18.0" customHeight="1">
      <c r="A1233" s="287"/>
      <c r="B1233" s="373"/>
      <c r="C1233" s="287"/>
      <c r="D1233" s="285"/>
      <c r="E1233" s="287"/>
      <c r="F1233" s="7"/>
      <c r="G1233" s="287"/>
      <c r="H1233" s="7"/>
      <c r="I1233" s="287"/>
      <c r="J1233" s="287"/>
      <c r="K1233" s="28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</row>
    <row r="1234" ht="18.0" customHeight="1">
      <c r="A1234" s="287"/>
      <c r="B1234" s="373"/>
      <c r="C1234" s="287"/>
      <c r="D1234" s="285"/>
      <c r="E1234" s="287"/>
      <c r="F1234" s="7"/>
      <c r="G1234" s="287"/>
      <c r="H1234" s="7"/>
      <c r="I1234" s="287"/>
      <c r="J1234" s="287"/>
      <c r="K1234" s="28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</row>
    <row r="1235" ht="18.0" customHeight="1">
      <c r="A1235" s="287"/>
      <c r="B1235" s="373"/>
      <c r="C1235" s="287"/>
      <c r="D1235" s="285"/>
      <c r="E1235" s="287"/>
      <c r="F1235" s="7"/>
      <c r="G1235" s="287"/>
      <c r="H1235" s="7"/>
      <c r="I1235" s="287"/>
      <c r="J1235" s="287"/>
      <c r="K1235" s="28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</row>
    <row r="1236" ht="18.0" customHeight="1">
      <c r="A1236" s="287"/>
      <c r="B1236" s="373"/>
      <c r="C1236" s="287"/>
      <c r="D1236" s="285"/>
      <c r="E1236" s="287"/>
      <c r="F1236" s="7"/>
      <c r="G1236" s="287"/>
      <c r="H1236" s="7"/>
      <c r="I1236" s="287"/>
      <c r="J1236" s="287"/>
      <c r="K1236" s="28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</row>
    <row r="1237" ht="18.0" customHeight="1">
      <c r="A1237" s="287"/>
      <c r="B1237" s="373"/>
      <c r="C1237" s="287"/>
      <c r="D1237" s="285"/>
      <c r="E1237" s="287"/>
      <c r="F1237" s="7"/>
      <c r="G1237" s="287"/>
      <c r="H1237" s="7"/>
      <c r="I1237" s="287"/>
      <c r="J1237" s="287"/>
      <c r="K1237" s="28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</row>
    <row r="1238" ht="18.0" customHeight="1">
      <c r="A1238" s="287"/>
      <c r="B1238" s="373"/>
      <c r="C1238" s="287"/>
      <c r="D1238" s="285"/>
      <c r="E1238" s="287"/>
      <c r="F1238" s="7"/>
      <c r="G1238" s="287"/>
      <c r="H1238" s="7"/>
      <c r="I1238" s="287"/>
      <c r="J1238" s="287"/>
      <c r="K1238" s="28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</row>
    <row r="1239" ht="18.0" customHeight="1">
      <c r="A1239" s="287"/>
      <c r="B1239" s="373"/>
      <c r="C1239" s="287"/>
      <c r="D1239" s="285"/>
      <c r="E1239" s="287"/>
      <c r="F1239" s="7"/>
      <c r="G1239" s="287"/>
      <c r="H1239" s="7"/>
      <c r="I1239" s="287"/>
      <c r="J1239" s="287"/>
      <c r="K1239" s="28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</row>
    <row r="1240" ht="18.0" customHeight="1">
      <c r="A1240" s="287"/>
      <c r="B1240" s="373"/>
      <c r="C1240" s="287"/>
      <c r="D1240" s="285"/>
      <c r="E1240" s="287"/>
      <c r="F1240" s="7"/>
      <c r="G1240" s="287"/>
      <c r="H1240" s="7"/>
      <c r="I1240" s="287"/>
      <c r="J1240" s="287"/>
      <c r="K1240" s="28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</row>
    <row r="1241" ht="18.0" customHeight="1">
      <c r="A1241" s="287"/>
      <c r="B1241" s="373"/>
      <c r="C1241" s="287"/>
      <c r="D1241" s="285"/>
      <c r="E1241" s="287"/>
      <c r="F1241" s="7"/>
      <c r="G1241" s="287"/>
      <c r="H1241" s="7"/>
      <c r="I1241" s="287"/>
      <c r="J1241" s="287"/>
      <c r="K1241" s="28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</row>
    <row r="1242" ht="18.0" customHeight="1">
      <c r="A1242" s="287"/>
      <c r="B1242" s="373"/>
      <c r="C1242" s="287"/>
      <c r="D1242" s="285"/>
      <c r="E1242" s="287"/>
      <c r="F1242" s="7"/>
      <c r="G1242" s="287"/>
      <c r="H1242" s="7"/>
      <c r="I1242" s="287"/>
      <c r="J1242" s="287"/>
      <c r="K1242" s="28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</row>
    <row r="1243" ht="18.0" customHeight="1">
      <c r="A1243" s="287"/>
      <c r="B1243" s="373"/>
      <c r="C1243" s="287"/>
      <c r="D1243" s="285"/>
      <c r="E1243" s="287"/>
      <c r="F1243" s="7"/>
      <c r="G1243" s="287"/>
      <c r="H1243" s="7"/>
      <c r="I1243" s="287"/>
      <c r="J1243" s="287"/>
      <c r="K1243" s="28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</row>
    <row r="1244" ht="18.0" customHeight="1">
      <c r="A1244" s="287"/>
      <c r="B1244" s="373"/>
      <c r="C1244" s="287"/>
      <c r="D1244" s="285"/>
      <c r="E1244" s="287"/>
      <c r="F1244" s="7"/>
      <c r="G1244" s="287"/>
      <c r="H1244" s="7"/>
      <c r="I1244" s="287"/>
      <c r="J1244" s="287"/>
      <c r="K1244" s="28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</row>
    <row r="1245" ht="18.0" customHeight="1">
      <c r="A1245" s="287"/>
      <c r="B1245" s="373"/>
      <c r="C1245" s="287"/>
      <c r="D1245" s="285"/>
      <c r="E1245" s="287"/>
      <c r="F1245" s="7"/>
      <c r="G1245" s="287"/>
      <c r="H1245" s="7"/>
      <c r="I1245" s="287"/>
      <c r="J1245" s="287"/>
      <c r="K1245" s="28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</row>
    <row r="1246" ht="18.0" customHeight="1">
      <c r="A1246" s="287"/>
      <c r="B1246" s="373"/>
      <c r="C1246" s="287"/>
      <c r="D1246" s="285"/>
      <c r="E1246" s="287"/>
      <c r="F1246" s="7"/>
      <c r="G1246" s="287"/>
      <c r="H1246" s="7"/>
      <c r="I1246" s="287"/>
      <c r="J1246" s="287"/>
      <c r="K1246" s="28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</row>
    <row r="1247" ht="18.0" customHeight="1">
      <c r="A1247" s="287"/>
      <c r="B1247" s="373"/>
      <c r="C1247" s="287"/>
      <c r="D1247" s="285"/>
      <c r="E1247" s="287"/>
      <c r="F1247" s="7"/>
      <c r="G1247" s="287"/>
      <c r="H1247" s="7"/>
      <c r="I1247" s="287"/>
      <c r="J1247" s="287"/>
      <c r="K1247" s="28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</row>
    <row r="1248" ht="18.0" customHeight="1">
      <c r="A1248" s="287"/>
      <c r="B1248" s="373"/>
      <c r="C1248" s="287"/>
      <c r="D1248" s="285"/>
      <c r="E1248" s="287"/>
      <c r="F1248" s="7"/>
      <c r="G1248" s="287"/>
      <c r="H1248" s="7"/>
      <c r="I1248" s="287"/>
      <c r="J1248" s="287"/>
      <c r="K1248" s="28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</row>
    <row r="1249" ht="18.0" customHeight="1">
      <c r="A1249" s="287"/>
      <c r="B1249" s="373"/>
      <c r="C1249" s="287"/>
      <c r="D1249" s="285"/>
      <c r="E1249" s="287"/>
      <c r="F1249" s="7"/>
      <c r="G1249" s="287"/>
      <c r="H1249" s="7"/>
      <c r="I1249" s="287"/>
      <c r="J1249" s="287"/>
      <c r="K1249" s="28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</row>
    <row r="1250" ht="18.0" customHeight="1">
      <c r="A1250" s="287"/>
      <c r="B1250" s="373"/>
      <c r="C1250" s="287"/>
      <c r="D1250" s="285"/>
      <c r="E1250" s="287"/>
      <c r="F1250" s="7"/>
      <c r="G1250" s="287"/>
      <c r="H1250" s="7"/>
      <c r="I1250" s="287"/>
      <c r="J1250" s="287"/>
      <c r="K1250" s="28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</row>
    <row r="1251" ht="18.0" customHeight="1">
      <c r="A1251" s="287"/>
      <c r="B1251" s="373"/>
      <c r="C1251" s="287"/>
      <c r="D1251" s="285"/>
      <c r="E1251" s="287"/>
      <c r="F1251" s="7"/>
      <c r="G1251" s="287"/>
      <c r="H1251" s="7"/>
      <c r="I1251" s="287"/>
      <c r="J1251" s="287"/>
      <c r="K1251" s="28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</row>
    <row r="1252" ht="18.0" customHeight="1">
      <c r="A1252" s="287"/>
      <c r="B1252" s="373"/>
      <c r="C1252" s="287"/>
      <c r="D1252" s="285"/>
      <c r="E1252" s="287"/>
      <c r="F1252" s="7"/>
      <c r="G1252" s="287"/>
      <c r="H1252" s="7"/>
      <c r="I1252" s="287"/>
      <c r="J1252" s="287"/>
      <c r="K1252" s="28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</row>
    <row r="1253" ht="18.0" customHeight="1">
      <c r="A1253" s="287"/>
      <c r="B1253" s="373"/>
      <c r="C1253" s="287"/>
      <c r="D1253" s="285"/>
      <c r="E1253" s="287"/>
      <c r="F1253" s="7"/>
      <c r="G1253" s="287"/>
      <c r="H1253" s="7"/>
      <c r="I1253" s="287"/>
      <c r="J1253" s="287"/>
      <c r="K1253" s="28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</row>
    <row r="1254" ht="18.0" customHeight="1">
      <c r="A1254" s="287"/>
      <c r="B1254" s="373"/>
      <c r="C1254" s="287"/>
      <c r="D1254" s="285"/>
      <c r="E1254" s="287"/>
      <c r="F1254" s="7"/>
      <c r="G1254" s="287"/>
      <c r="H1254" s="7"/>
      <c r="I1254" s="287"/>
      <c r="J1254" s="287"/>
      <c r="K1254" s="28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</row>
    <row r="1255" ht="18.0" customHeight="1">
      <c r="A1255" s="287"/>
      <c r="B1255" s="373"/>
      <c r="C1255" s="287"/>
      <c r="D1255" s="285"/>
      <c r="E1255" s="287"/>
      <c r="F1255" s="7"/>
      <c r="G1255" s="287"/>
      <c r="H1255" s="7"/>
      <c r="I1255" s="287"/>
      <c r="J1255" s="287"/>
      <c r="K1255" s="28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</row>
    <row r="1256" ht="18.0" customHeight="1">
      <c r="A1256" s="287"/>
      <c r="B1256" s="373"/>
      <c r="C1256" s="287"/>
      <c r="D1256" s="285"/>
      <c r="E1256" s="287"/>
      <c r="F1256" s="7"/>
      <c r="G1256" s="287"/>
      <c r="H1256" s="7"/>
      <c r="I1256" s="287"/>
      <c r="J1256" s="287"/>
      <c r="K1256" s="28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</row>
    <row r="1257" ht="18.0" customHeight="1">
      <c r="A1257" s="287"/>
      <c r="B1257" s="373"/>
      <c r="C1257" s="287"/>
      <c r="D1257" s="285"/>
      <c r="E1257" s="287"/>
      <c r="F1257" s="7"/>
      <c r="G1257" s="287"/>
      <c r="H1257" s="7"/>
      <c r="I1257" s="287"/>
      <c r="J1257" s="287"/>
      <c r="K1257" s="28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</row>
    <row r="1258" ht="18.0" customHeight="1">
      <c r="A1258" s="287"/>
      <c r="B1258" s="373"/>
      <c r="C1258" s="287"/>
      <c r="D1258" s="285"/>
      <c r="E1258" s="287"/>
      <c r="F1258" s="7"/>
      <c r="G1258" s="287"/>
      <c r="H1258" s="7"/>
      <c r="I1258" s="287"/>
      <c r="J1258" s="287"/>
      <c r="K1258" s="28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</row>
    <row r="1259" ht="18.0" customHeight="1">
      <c r="A1259" s="287"/>
      <c r="B1259" s="373"/>
      <c r="C1259" s="287"/>
      <c r="D1259" s="285"/>
      <c r="E1259" s="287"/>
      <c r="F1259" s="7"/>
      <c r="G1259" s="287"/>
      <c r="H1259" s="7"/>
      <c r="I1259" s="287"/>
      <c r="J1259" s="287"/>
      <c r="K1259" s="28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</row>
    <row r="1260" ht="18.0" customHeight="1">
      <c r="A1260" s="287"/>
      <c r="B1260" s="373"/>
      <c r="C1260" s="287"/>
      <c r="D1260" s="285"/>
      <c r="E1260" s="287"/>
      <c r="F1260" s="7"/>
      <c r="G1260" s="287"/>
      <c r="H1260" s="7"/>
      <c r="I1260" s="287"/>
      <c r="J1260" s="287"/>
      <c r="K1260" s="28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</row>
    <row r="1261" ht="18.0" customHeight="1">
      <c r="A1261" s="287"/>
      <c r="B1261" s="373"/>
      <c r="C1261" s="287"/>
      <c r="D1261" s="285"/>
      <c r="E1261" s="287"/>
      <c r="F1261" s="7"/>
      <c r="G1261" s="287"/>
      <c r="H1261" s="7"/>
      <c r="I1261" s="287"/>
      <c r="J1261" s="287"/>
      <c r="K1261" s="28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</row>
    <row r="1262" ht="18.0" customHeight="1">
      <c r="A1262" s="287"/>
      <c r="B1262" s="373"/>
      <c r="C1262" s="287"/>
      <c r="D1262" s="285"/>
      <c r="E1262" s="287"/>
      <c r="F1262" s="7"/>
      <c r="G1262" s="287"/>
      <c r="H1262" s="7"/>
      <c r="I1262" s="287"/>
      <c r="J1262" s="287"/>
      <c r="K1262" s="28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</row>
    <row r="1263" ht="18.0" customHeight="1">
      <c r="A1263" s="287"/>
      <c r="B1263" s="373"/>
      <c r="C1263" s="287"/>
      <c r="D1263" s="285"/>
      <c r="E1263" s="287"/>
      <c r="F1263" s="7"/>
      <c r="G1263" s="287"/>
      <c r="H1263" s="7"/>
      <c r="I1263" s="287"/>
      <c r="J1263" s="287"/>
      <c r="K1263" s="28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</row>
    <row r="1264" ht="18.0" customHeight="1">
      <c r="A1264" s="287"/>
      <c r="B1264" s="373"/>
      <c r="C1264" s="287"/>
      <c r="D1264" s="285"/>
      <c r="E1264" s="287"/>
      <c r="F1264" s="7"/>
      <c r="G1264" s="287"/>
      <c r="H1264" s="7"/>
      <c r="I1264" s="287"/>
      <c r="J1264" s="287"/>
      <c r="K1264" s="28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</row>
    <row r="1265" ht="18.0" customHeight="1">
      <c r="A1265" s="287"/>
      <c r="B1265" s="373"/>
      <c r="C1265" s="287"/>
      <c r="D1265" s="285"/>
      <c r="E1265" s="287"/>
      <c r="F1265" s="7"/>
      <c r="G1265" s="287"/>
      <c r="H1265" s="7"/>
      <c r="I1265" s="287"/>
      <c r="J1265" s="287"/>
      <c r="K1265" s="28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</row>
    <row r="1266" ht="18.0" customHeight="1">
      <c r="A1266" s="287"/>
      <c r="B1266" s="373"/>
      <c r="C1266" s="287"/>
      <c r="D1266" s="285"/>
      <c r="E1266" s="287"/>
      <c r="F1266" s="7"/>
      <c r="G1266" s="287"/>
      <c r="H1266" s="7"/>
      <c r="I1266" s="287"/>
      <c r="J1266" s="287"/>
      <c r="K1266" s="28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</row>
    <row r="1267" ht="18.0" customHeight="1">
      <c r="A1267" s="287"/>
      <c r="B1267" s="373"/>
      <c r="C1267" s="287"/>
      <c r="D1267" s="285"/>
      <c r="E1267" s="287"/>
      <c r="F1267" s="7"/>
      <c r="G1267" s="287"/>
      <c r="H1267" s="7"/>
      <c r="I1267" s="287"/>
      <c r="J1267" s="287"/>
      <c r="K1267" s="28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</row>
    <row r="1268" ht="18.0" customHeight="1">
      <c r="A1268" s="287"/>
      <c r="B1268" s="373"/>
      <c r="C1268" s="287"/>
      <c r="D1268" s="285"/>
      <c r="E1268" s="287"/>
      <c r="F1268" s="7"/>
      <c r="G1268" s="287"/>
      <c r="H1268" s="7"/>
      <c r="I1268" s="287"/>
      <c r="J1268" s="287"/>
      <c r="K1268" s="28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</row>
    <row r="1269" ht="18.0" customHeight="1">
      <c r="A1269" s="287"/>
      <c r="B1269" s="373"/>
      <c r="C1269" s="287"/>
      <c r="D1269" s="285"/>
      <c r="E1269" s="287"/>
      <c r="F1269" s="7"/>
      <c r="G1269" s="287"/>
      <c r="H1269" s="7"/>
      <c r="I1269" s="287"/>
      <c r="J1269" s="287"/>
      <c r="K1269" s="28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</row>
    <row r="1270" ht="18.0" customHeight="1">
      <c r="A1270" s="287"/>
      <c r="B1270" s="373"/>
      <c r="C1270" s="287"/>
      <c r="D1270" s="285"/>
      <c r="E1270" s="287"/>
      <c r="F1270" s="7"/>
      <c r="G1270" s="287"/>
      <c r="H1270" s="7"/>
      <c r="I1270" s="287"/>
      <c r="J1270" s="287"/>
      <c r="K1270" s="28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</row>
    <row r="1271" ht="18.0" customHeight="1">
      <c r="A1271" s="287"/>
      <c r="B1271" s="373"/>
      <c r="C1271" s="287"/>
      <c r="D1271" s="285"/>
      <c r="E1271" s="287"/>
      <c r="F1271" s="7"/>
      <c r="G1271" s="287"/>
      <c r="H1271" s="7"/>
      <c r="I1271" s="287"/>
      <c r="J1271" s="287"/>
      <c r="K1271" s="28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</row>
    <row r="1272" ht="18.0" customHeight="1">
      <c r="A1272" s="287"/>
      <c r="B1272" s="373"/>
      <c r="C1272" s="287"/>
      <c r="D1272" s="285"/>
      <c r="E1272" s="287"/>
      <c r="F1272" s="7"/>
      <c r="G1272" s="287"/>
      <c r="H1272" s="7"/>
      <c r="I1272" s="287"/>
      <c r="J1272" s="287"/>
      <c r="K1272" s="28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</row>
    <row r="1273" ht="18.0" customHeight="1">
      <c r="A1273" s="287"/>
      <c r="B1273" s="373"/>
      <c r="C1273" s="287"/>
      <c r="D1273" s="285"/>
      <c r="E1273" s="287"/>
      <c r="F1273" s="7"/>
      <c r="G1273" s="287"/>
      <c r="H1273" s="7"/>
      <c r="I1273" s="287"/>
      <c r="J1273" s="287"/>
      <c r="K1273" s="28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</row>
    <row r="1274" ht="18.0" customHeight="1">
      <c r="A1274" s="287"/>
      <c r="B1274" s="373"/>
      <c r="C1274" s="287"/>
      <c r="D1274" s="285"/>
      <c r="E1274" s="287"/>
      <c r="F1274" s="7"/>
      <c r="G1274" s="287"/>
      <c r="H1274" s="7"/>
      <c r="I1274" s="287"/>
      <c r="J1274" s="287"/>
      <c r="K1274" s="28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</row>
    <row r="1275" ht="18.0" customHeight="1">
      <c r="A1275" s="287"/>
      <c r="B1275" s="373"/>
      <c r="C1275" s="287"/>
      <c r="D1275" s="285"/>
      <c r="E1275" s="287"/>
      <c r="F1275" s="7"/>
      <c r="G1275" s="287"/>
      <c r="H1275" s="7"/>
      <c r="I1275" s="287"/>
      <c r="J1275" s="287"/>
      <c r="K1275" s="28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</row>
    <row r="1276" ht="18.0" customHeight="1">
      <c r="A1276" s="287"/>
      <c r="B1276" s="373"/>
      <c r="C1276" s="287"/>
      <c r="D1276" s="285"/>
      <c r="E1276" s="287"/>
      <c r="F1276" s="7"/>
      <c r="G1276" s="287"/>
      <c r="H1276" s="7"/>
      <c r="I1276" s="287"/>
      <c r="J1276" s="287"/>
      <c r="K1276" s="28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</row>
    <row r="1277" ht="18.0" customHeight="1">
      <c r="A1277" s="287"/>
      <c r="B1277" s="373"/>
      <c r="C1277" s="287"/>
      <c r="D1277" s="285"/>
      <c r="E1277" s="287"/>
      <c r="F1277" s="7"/>
      <c r="G1277" s="287"/>
      <c r="H1277" s="7"/>
      <c r="I1277" s="287"/>
      <c r="J1277" s="287"/>
      <c r="K1277" s="28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</row>
    <row r="1278" ht="18.0" customHeight="1">
      <c r="A1278" s="287"/>
      <c r="B1278" s="373"/>
      <c r="C1278" s="287"/>
      <c r="D1278" s="285"/>
      <c r="E1278" s="287"/>
      <c r="F1278" s="7"/>
      <c r="G1278" s="287"/>
      <c r="H1278" s="7"/>
      <c r="I1278" s="287"/>
      <c r="J1278" s="287"/>
      <c r="K1278" s="28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</row>
    <row r="1279" ht="18.0" customHeight="1">
      <c r="A1279" s="287"/>
      <c r="B1279" s="373"/>
      <c r="C1279" s="287"/>
      <c r="D1279" s="285"/>
      <c r="E1279" s="287"/>
      <c r="F1279" s="7"/>
      <c r="G1279" s="287"/>
      <c r="H1279" s="7"/>
      <c r="I1279" s="287"/>
      <c r="J1279" s="287"/>
      <c r="K1279" s="28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</row>
    <row r="1280" ht="18.0" customHeight="1">
      <c r="A1280" s="287"/>
      <c r="B1280" s="373"/>
      <c r="C1280" s="287"/>
      <c r="D1280" s="285"/>
      <c r="E1280" s="287"/>
      <c r="F1280" s="7"/>
      <c r="G1280" s="287"/>
      <c r="H1280" s="7"/>
      <c r="I1280" s="287"/>
      <c r="J1280" s="287"/>
      <c r="K1280" s="28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</row>
    <row r="1281" ht="18.0" customHeight="1">
      <c r="A1281" s="287"/>
      <c r="B1281" s="373"/>
      <c r="C1281" s="287"/>
      <c r="D1281" s="285"/>
      <c r="E1281" s="287"/>
      <c r="F1281" s="7"/>
      <c r="G1281" s="287"/>
      <c r="H1281" s="7"/>
      <c r="I1281" s="287"/>
      <c r="J1281" s="287"/>
      <c r="K1281" s="28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</row>
    <row r="1282" ht="18.0" customHeight="1">
      <c r="A1282" s="287"/>
      <c r="B1282" s="373"/>
      <c r="C1282" s="287"/>
      <c r="D1282" s="285"/>
      <c r="E1282" s="287"/>
      <c r="F1282" s="7"/>
      <c r="G1282" s="287"/>
      <c r="H1282" s="7"/>
      <c r="I1282" s="287"/>
      <c r="J1282" s="287"/>
      <c r="K1282" s="28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</row>
    <row r="1283" ht="18.0" customHeight="1">
      <c r="A1283" s="287"/>
      <c r="B1283" s="373"/>
      <c r="C1283" s="287"/>
      <c r="D1283" s="285"/>
      <c r="E1283" s="287"/>
      <c r="F1283" s="7"/>
      <c r="G1283" s="287"/>
      <c r="H1283" s="7"/>
      <c r="I1283" s="287"/>
      <c r="J1283" s="287"/>
      <c r="K1283" s="28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</row>
    <row r="1284" ht="18.0" customHeight="1">
      <c r="A1284" s="287"/>
      <c r="B1284" s="373"/>
      <c r="C1284" s="287"/>
      <c r="D1284" s="285"/>
      <c r="E1284" s="287"/>
      <c r="F1284" s="7"/>
      <c r="G1284" s="287"/>
      <c r="H1284" s="7"/>
      <c r="I1284" s="287"/>
      <c r="J1284" s="287"/>
      <c r="K1284" s="28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</row>
    <row r="1285" ht="18.0" customHeight="1">
      <c r="A1285" s="287"/>
      <c r="B1285" s="373"/>
      <c r="C1285" s="287"/>
      <c r="D1285" s="285"/>
      <c r="E1285" s="287"/>
      <c r="F1285" s="7"/>
      <c r="G1285" s="287"/>
      <c r="H1285" s="7"/>
      <c r="I1285" s="287"/>
      <c r="J1285" s="287"/>
      <c r="K1285" s="28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</row>
    <row r="1286" ht="18.0" customHeight="1">
      <c r="A1286" s="287"/>
      <c r="B1286" s="373"/>
      <c r="C1286" s="287"/>
      <c r="D1286" s="285"/>
      <c r="E1286" s="287"/>
      <c r="F1286" s="7"/>
      <c r="G1286" s="287"/>
      <c r="H1286" s="7"/>
      <c r="I1286" s="287"/>
      <c r="J1286" s="287"/>
      <c r="K1286" s="28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</row>
    <row r="1287" ht="18.0" customHeight="1">
      <c r="A1287" s="287"/>
      <c r="B1287" s="373"/>
      <c r="C1287" s="287"/>
      <c r="D1287" s="285"/>
      <c r="E1287" s="287"/>
      <c r="F1287" s="7"/>
      <c r="G1287" s="287"/>
      <c r="H1287" s="7"/>
      <c r="I1287" s="287"/>
      <c r="J1287" s="287"/>
      <c r="K1287" s="28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</row>
    <row r="1288" ht="18.0" customHeight="1">
      <c r="A1288" s="287"/>
      <c r="B1288" s="373"/>
      <c r="C1288" s="287"/>
      <c r="D1288" s="285"/>
      <c r="E1288" s="287"/>
      <c r="F1288" s="7"/>
      <c r="G1288" s="287"/>
      <c r="H1288" s="7"/>
      <c r="I1288" s="287"/>
      <c r="J1288" s="287"/>
      <c r="K1288" s="28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</row>
    <row r="1289" ht="18.0" customHeight="1">
      <c r="A1289" s="287"/>
      <c r="B1289" s="373"/>
      <c r="C1289" s="287"/>
      <c r="D1289" s="285"/>
      <c r="E1289" s="287"/>
      <c r="F1289" s="7"/>
      <c r="G1289" s="287"/>
      <c r="H1289" s="7"/>
      <c r="I1289" s="287"/>
      <c r="J1289" s="287"/>
      <c r="K1289" s="28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</row>
    <row r="1290" ht="18.0" customHeight="1">
      <c r="A1290" s="287"/>
      <c r="B1290" s="373"/>
      <c r="C1290" s="287"/>
      <c r="D1290" s="285"/>
      <c r="E1290" s="287"/>
      <c r="F1290" s="7"/>
      <c r="G1290" s="287"/>
      <c r="H1290" s="7"/>
      <c r="I1290" s="287"/>
      <c r="J1290" s="287"/>
      <c r="K1290" s="28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</row>
    <row r="1291" ht="18.0" customHeight="1">
      <c r="A1291" s="287"/>
      <c r="B1291" s="373"/>
      <c r="C1291" s="287"/>
      <c r="D1291" s="285"/>
      <c r="E1291" s="287"/>
      <c r="F1291" s="7"/>
      <c r="G1291" s="287"/>
      <c r="H1291" s="7"/>
      <c r="I1291" s="287"/>
      <c r="J1291" s="287"/>
      <c r="K1291" s="28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</row>
    <row r="1292" ht="18.0" customHeight="1">
      <c r="A1292" s="287"/>
      <c r="B1292" s="373"/>
      <c r="C1292" s="287"/>
      <c r="D1292" s="285"/>
      <c r="E1292" s="287"/>
      <c r="F1292" s="7"/>
      <c r="G1292" s="287"/>
      <c r="H1292" s="7"/>
      <c r="I1292" s="287"/>
      <c r="J1292" s="287"/>
      <c r="K1292" s="28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</row>
    <row r="1293" ht="18.0" customHeight="1">
      <c r="A1293" s="287"/>
      <c r="B1293" s="373"/>
      <c r="C1293" s="287"/>
      <c r="D1293" s="285"/>
      <c r="E1293" s="287"/>
      <c r="F1293" s="7"/>
      <c r="G1293" s="287"/>
      <c r="H1293" s="7"/>
      <c r="I1293" s="287"/>
      <c r="J1293" s="287"/>
      <c r="K1293" s="28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</row>
    <row r="1294" ht="18.0" customHeight="1">
      <c r="A1294" s="287"/>
      <c r="B1294" s="373"/>
      <c r="C1294" s="287"/>
      <c r="D1294" s="285"/>
      <c r="E1294" s="287"/>
      <c r="F1294" s="7"/>
      <c r="G1294" s="287"/>
      <c r="H1294" s="7"/>
      <c r="I1294" s="287"/>
      <c r="J1294" s="287"/>
      <c r="K1294" s="28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</row>
    <row r="1295" ht="18.0" customHeight="1">
      <c r="A1295" s="287"/>
      <c r="B1295" s="373"/>
      <c r="C1295" s="287"/>
      <c r="D1295" s="285"/>
      <c r="E1295" s="287"/>
      <c r="F1295" s="7"/>
      <c r="G1295" s="287"/>
      <c r="H1295" s="7"/>
      <c r="I1295" s="287"/>
      <c r="J1295" s="287"/>
      <c r="K1295" s="28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</row>
    <row r="1296" ht="18.0" customHeight="1">
      <c r="A1296" s="287"/>
      <c r="B1296" s="373"/>
      <c r="C1296" s="287"/>
      <c r="D1296" s="285"/>
      <c r="E1296" s="287"/>
      <c r="F1296" s="7"/>
      <c r="G1296" s="287"/>
      <c r="H1296" s="7"/>
      <c r="I1296" s="287"/>
      <c r="J1296" s="287"/>
      <c r="K1296" s="28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</row>
    <row r="1297" ht="18.0" customHeight="1">
      <c r="A1297" s="287"/>
      <c r="B1297" s="373"/>
      <c r="C1297" s="287"/>
      <c r="D1297" s="285"/>
      <c r="E1297" s="287"/>
      <c r="F1297" s="7"/>
      <c r="G1297" s="287"/>
      <c r="H1297" s="7"/>
      <c r="I1297" s="287"/>
      <c r="J1297" s="287"/>
      <c r="K1297" s="28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</row>
    <row r="1298" ht="18.0" customHeight="1">
      <c r="A1298" s="287"/>
      <c r="B1298" s="373"/>
      <c r="C1298" s="287"/>
      <c r="D1298" s="285"/>
      <c r="E1298" s="287"/>
      <c r="F1298" s="7"/>
      <c r="G1298" s="287"/>
      <c r="H1298" s="7"/>
      <c r="I1298" s="287"/>
      <c r="J1298" s="287"/>
      <c r="K1298" s="28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</row>
    <row r="1299" ht="18.0" customHeight="1">
      <c r="A1299" s="287"/>
      <c r="B1299" s="373"/>
      <c r="C1299" s="287"/>
      <c r="D1299" s="285"/>
      <c r="E1299" s="287"/>
      <c r="F1299" s="7"/>
      <c r="G1299" s="287"/>
      <c r="H1299" s="7"/>
      <c r="I1299" s="287"/>
      <c r="J1299" s="287"/>
      <c r="K1299" s="28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</row>
    <row r="1300" ht="18.0" customHeight="1">
      <c r="A1300" s="287"/>
      <c r="B1300" s="373"/>
      <c r="C1300" s="287"/>
      <c r="D1300" s="285"/>
      <c r="E1300" s="287"/>
      <c r="F1300" s="7"/>
      <c r="G1300" s="287"/>
      <c r="H1300" s="7"/>
      <c r="I1300" s="287"/>
      <c r="J1300" s="287"/>
      <c r="K1300" s="28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</row>
    <row r="1301" ht="18.0" customHeight="1">
      <c r="A1301" s="287"/>
      <c r="B1301" s="373"/>
      <c r="C1301" s="287"/>
      <c r="D1301" s="285"/>
      <c r="E1301" s="287"/>
      <c r="F1301" s="7"/>
      <c r="G1301" s="287"/>
      <c r="H1301" s="7"/>
      <c r="I1301" s="287"/>
      <c r="J1301" s="287"/>
      <c r="K1301" s="28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</row>
    <row r="1302" ht="18.0" customHeight="1">
      <c r="A1302" s="287"/>
      <c r="B1302" s="373"/>
      <c r="C1302" s="287"/>
      <c r="D1302" s="285"/>
      <c r="E1302" s="287"/>
      <c r="F1302" s="7"/>
      <c r="G1302" s="287"/>
      <c r="H1302" s="7"/>
      <c r="I1302" s="287"/>
      <c r="J1302" s="287"/>
      <c r="K1302" s="28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</row>
    <row r="1303" ht="18.0" customHeight="1">
      <c r="A1303" s="287"/>
      <c r="B1303" s="373"/>
      <c r="C1303" s="287"/>
      <c r="D1303" s="285"/>
      <c r="E1303" s="287"/>
      <c r="F1303" s="7"/>
      <c r="G1303" s="287"/>
      <c r="H1303" s="7"/>
      <c r="I1303" s="287"/>
      <c r="J1303" s="287"/>
      <c r="K1303" s="28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</row>
    <row r="1304" ht="18.0" customHeight="1">
      <c r="A1304" s="287"/>
      <c r="B1304" s="373"/>
      <c r="C1304" s="287"/>
      <c r="D1304" s="285"/>
      <c r="E1304" s="287"/>
      <c r="F1304" s="7"/>
      <c r="G1304" s="287"/>
      <c r="H1304" s="7"/>
      <c r="I1304" s="287"/>
      <c r="J1304" s="287"/>
      <c r="K1304" s="28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</row>
    <row r="1305" ht="18.0" customHeight="1">
      <c r="A1305" s="287"/>
      <c r="B1305" s="373"/>
      <c r="C1305" s="287"/>
      <c r="D1305" s="285"/>
      <c r="E1305" s="287"/>
      <c r="F1305" s="7"/>
      <c r="G1305" s="287"/>
      <c r="H1305" s="7"/>
      <c r="I1305" s="287"/>
      <c r="J1305" s="287"/>
      <c r="K1305" s="28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</row>
    <row r="1306" ht="18.0" customHeight="1">
      <c r="A1306" s="287"/>
      <c r="B1306" s="373"/>
      <c r="C1306" s="287"/>
      <c r="D1306" s="285"/>
      <c r="E1306" s="287"/>
      <c r="F1306" s="7"/>
      <c r="G1306" s="287"/>
      <c r="H1306" s="7"/>
      <c r="I1306" s="287"/>
      <c r="J1306" s="287"/>
      <c r="K1306" s="28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</row>
    <row r="1307" ht="18.0" customHeight="1">
      <c r="A1307" s="287"/>
      <c r="B1307" s="373"/>
      <c r="C1307" s="287"/>
      <c r="D1307" s="285"/>
      <c r="E1307" s="287"/>
      <c r="F1307" s="7"/>
      <c r="G1307" s="287"/>
      <c r="H1307" s="7"/>
      <c r="I1307" s="287"/>
      <c r="J1307" s="287"/>
      <c r="K1307" s="28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</row>
    <row r="1308" ht="18.0" customHeight="1">
      <c r="A1308" s="287"/>
      <c r="B1308" s="373"/>
      <c r="C1308" s="287"/>
      <c r="D1308" s="285"/>
      <c r="E1308" s="287"/>
      <c r="F1308" s="7"/>
      <c r="G1308" s="287"/>
      <c r="H1308" s="7"/>
      <c r="I1308" s="287"/>
      <c r="J1308" s="287"/>
      <c r="K1308" s="28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</row>
    <row r="1309" ht="18.0" customHeight="1">
      <c r="A1309" s="287"/>
      <c r="B1309" s="373"/>
      <c r="C1309" s="287"/>
      <c r="D1309" s="285"/>
      <c r="E1309" s="287"/>
      <c r="F1309" s="7"/>
      <c r="G1309" s="287"/>
      <c r="H1309" s="7"/>
      <c r="I1309" s="287"/>
      <c r="J1309" s="287"/>
      <c r="K1309" s="28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</row>
    <row r="1310" ht="18.0" customHeight="1">
      <c r="A1310" s="287"/>
      <c r="B1310" s="373"/>
      <c r="C1310" s="287"/>
      <c r="D1310" s="285"/>
      <c r="E1310" s="287"/>
      <c r="F1310" s="7"/>
      <c r="G1310" s="287"/>
      <c r="H1310" s="7"/>
      <c r="I1310" s="287"/>
      <c r="J1310" s="287"/>
      <c r="K1310" s="28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</row>
    <row r="1311" ht="18.0" customHeight="1">
      <c r="A1311" s="287"/>
      <c r="B1311" s="373"/>
      <c r="C1311" s="287"/>
      <c r="D1311" s="285"/>
      <c r="E1311" s="287"/>
      <c r="F1311" s="7"/>
      <c r="G1311" s="287"/>
      <c r="H1311" s="7"/>
      <c r="I1311" s="287"/>
      <c r="J1311" s="287"/>
      <c r="K1311" s="28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</row>
    <row r="1312" ht="18.0" customHeight="1">
      <c r="A1312" s="287"/>
      <c r="B1312" s="373"/>
      <c r="C1312" s="287"/>
      <c r="D1312" s="285"/>
      <c r="E1312" s="287"/>
      <c r="F1312" s="7"/>
      <c r="G1312" s="287"/>
      <c r="H1312" s="7"/>
      <c r="I1312" s="287"/>
      <c r="J1312" s="287"/>
      <c r="K1312" s="28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</row>
    <row r="1313" ht="18.0" customHeight="1">
      <c r="A1313" s="287"/>
      <c r="B1313" s="373"/>
      <c r="C1313" s="287"/>
      <c r="D1313" s="285"/>
      <c r="E1313" s="287"/>
      <c r="F1313" s="7"/>
      <c r="G1313" s="287"/>
      <c r="H1313" s="7"/>
      <c r="I1313" s="287"/>
      <c r="J1313" s="287"/>
      <c r="K1313" s="28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</row>
    <row r="1314" ht="18.0" customHeight="1">
      <c r="A1314" s="287"/>
      <c r="B1314" s="373"/>
      <c r="C1314" s="287"/>
      <c r="D1314" s="285"/>
      <c r="E1314" s="287"/>
      <c r="F1314" s="7"/>
      <c r="G1314" s="287"/>
      <c r="H1314" s="7"/>
      <c r="I1314" s="287"/>
      <c r="J1314" s="287"/>
      <c r="K1314" s="28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</row>
    <row r="1315" ht="18.0" customHeight="1">
      <c r="A1315" s="287"/>
      <c r="B1315" s="373"/>
      <c r="C1315" s="287"/>
      <c r="D1315" s="285"/>
      <c r="E1315" s="287"/>
      <c r="F1315" s="7"/>
      <c r="G1315" s="287"/>
      <c r="H1315" s="7"/>
      <c r="I1315" s="287"/>
      <c r="J1315" s="287"/>
      <c r="K1315" s="28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</row>
    <row r="1316" ht="18.0" customHeight="1">
      <c r="A1316" s="287"/>
      <c r="B1316" s="373"/>
      <c r="C1316" s="287"/>
      <c r="D1316" s="285"/>
      <c r="E1316" s="287"/>
      <c r="F1316" s="7"/>
      <c r="G1316" s="287"/>
      <c r="H1316" s="7"/>
      <c r="I1316" s="287"/>
      <c r="J1316" s="287"/>
      <c r="K1316" s="28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</row>
    <row r="1317" ht="18.0" customHeight="1">
      <c r="A1317" s="287"/>
      <c r="B1317" s="373"/>
      <c r="C1317" s="287"/>
      <c r="D1317" s="285"/>
      <c r="E1317" s="287"/>
      <c r="F1317" s="7"/>
      <c r="G1317" s="287"/>
      <c r="H1317" s="7"/>
      <c r="I1317" s="287"/>
      <c r="J1317" s="287"/>
      <c r="K1317" s="28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</row>
    <row r="1318" ht="18.0" customHeight="1">
      <c r="A1318" s="287"/>
      <c r="B1318" s="373"/>
      <c r="C1318" s="287"/>
      <c r="D1318" s="285"/>
      <c r="E1318" s="287"/>
      <c r="F1318" s="7"/>
      <c r="G1318" s="287"/>
      <c r="H1318" s="7"/>
      <c r="I1318" s="287"/>
      <c r="J1318" s="287"/>
      <c r="K1318" s="28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</row>
    <row r="1319" ht="18.0" customHeight="1">
      <c r="A1319" s="287"/>
      <c r="B1319" s="373"/>
      <c r="C1319" s="287"/>
      <c r="D1319" s="285"/>
      <c r="E1319" s="287"/>
      <c r="F1319" s="7"/>
      <c r="G1319" s="287"/>
      <c r="H1319" s="7"/>
      <c r="I1319" s="287"/>
      <c r="J1319" s="287"/>
      <c r="K1319" s="28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</row>
    <row r="1320" ht="18.0" customHeight="1">
      <c r="A1320" s="287"/>
      <c r="B1320" s="373"/>
      <c r="C1320" s="287"/>
      <c r="D1320" s="285"/>
      <c r="E1320" s="287"/>
      <c r="F1320" s="7"/>
      <c r="G1320" s="287"/>
      <c r="H1320" s="7"/>
      <c r="I1320" s="287"/>
      <c r="J1320" s="287"/>
      <c r="K1320" s="28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</row>
    <row r="1321" ht="18.0" customHeight="1">
      <c r="A1321" s="287"/>
      <c r="B1321" s="373"/>
      <c r="C1321" s="287"/>
      <c r="D1321" s="285"/>
      <c r="E1321" s="287"/>
      <c r="F1321" s="7"/>
      <c r="G1321" s="287"/>
      <c r="H1321" s="7"/>
      <c r="I1321" s="287"/>
      <c r="J1321" s="287"/>
      <c r="K1321" s="28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</row>
    <row r="1322" ht="18.0" customHeight="1">
      <c r="A1322" s="287"/>
      <c r="B1322" s="373"/>
      <c r="C1322" s="287"/>
      <c r="D1322" s="285"/>
      <c r="E1322" s="287"/>
      <c r="F1322" s="7"/>
      <c r="G1322" s="287"/>
      <c r="H1322" s="7"/>
      <c r="I1322" s="287"/>
      <c r="J1322" s="287"/>
      <c r="K1322" s="28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</row>
    <row r="1323" ht="18.0" customHeight="1">
      <c r="A1323" s="287"/>
      <c r="B1323" s="373"/>
      <c r="C1323" s="287"/>
      <c r="D1323" s="285"/>
      <c r="E1323" s="287"/>
      <c r="F1323" s="7"/>
      <c r="G1323" s="287"/>
      <c r="H1323" s="7"/>
      <c r="I1323" s="287"/>
      <c r="J1323" s="287"/>
      <c r="K1323" s="28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</row>
    <row r="1324" ht="18.0" customHeight="1">
      <c r="A1324" s="287"/>
      <c r="B1324" s="373"/>
      <c r="C1324" s="287"/>
      <c r="D1324" s="285"/>
      <c r="E1324" s="287"/>
      <c r="F1324" s="7"/>
      <c r="G1324" s="287"/>
      <c r="H1324" s="7"/>
      <c r="I1324" s="287"/>
      <c r="J1324" s="287"/>
      <c r="K1324" s="28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</row>
    <row r="1325" ht="18.0" customHeight="1">
      <c r="A1325" s="287"/>
      <c r="B1325" s="373"/>
      <c r="C1325" s="287"/>
      <c r="D1325" s="285"/>
      <c r="E1325" s="287"/>
      <c r="F1325" s="7"/>
      <c r="G1325" s="287"/>
      <c r="H1325" s="7"/>
      <c r="I1325" s="287"/>
      <c r="J1325" s="287"/>
      <c r="K1325" s="28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</row>
    <row r="1326" ht="18.0" customHeight="1">
      <c r="A1326" s="287"/>
      <c r="B1326" s="373"/>
      <c r="C1326" s="287"/>
      <c r="D1326" s="285"/>
      <c r="E1326" s="287"/>
      <c r="F1326" s="7"/>
      <c r="G1326" s="287"/>
      <c r="H1326" s="7"/>
      <c r="I1326" s="287"/>
      <c r="J1326" s="287"/>
      <c r="K1326" s="28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</row>
    <row r="1327" ht="18.0" customHeight="1">
      <c r="A1327" s="287"/>
      <c r="B1327" s="373"/>
      <c r="C1327" s="287"/>
      <c r="D1327" s="285"/>
      <c r="E1327" s="287"/>
      <c r="F1327" s="7"/>
      <c r="G1327" s="287"/>
      <c r="H1327" s="7"/>
      <c r="I1327" s="287"/>
      <c r="J1327" s="287"/>
      <c r="K1327" s="28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</row>
    <row r="1328" ht="18.0" customHeight="1">
      <c r="A1328" s="287"/>
      <c r="B1328" s="373"/>
      <c r="C1328" s="287"/>
      <c r="D1328" s="285"/>
      <c r="E1328" s="287"/>
      <c r="F1328" s="7"/>
      <c r="G1328" s="287"/>
      <c r="H1328" s="7"/>
      <c r="I1328" s="287"/>
      <c r="J1328" s="287"/>
      <c r="K1328" s="28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</row>
    <row r="1329" ht="18.0" customHeight="1">
      <c r="A1329" s="287"/>
      <c r="B1329" s="373"/>
      <c r="C1329" s="287"/>
      <c r="D1329" s="285"/>
      <c r="E1329" s="287"/>
      <c r="F1329" s="7"/>
      <c r="G1329" s="287"/>
      <c r="H1329" s="7"/>
      <c r="I1329" s="287"/>
      <c r="J1329" s="287"/>
      <c r="K1329" s="28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</row>
    <row r="1330" ht="18.0" customHeight="1">
      <c r="A1330" s="287"/>
      <c r="B1330" s="373"/>
      <c r="C1330" s="287"/>
      <c r="D1330" s="285"/>
      <c r="E1330" s="287"/>
      <c r="F1330" s="7"/>
      <c r="G1330" s="287"/>
      <c r="H1330" s="7"/>
      <c r="I1330" s="287"/>
      <c r="J1330" s="287"/>
      <c r="K1330" s="28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</row>
    <row r="1331" ht="18.0" customHeight="1">
      <c r="A1331" s="287"/>
      <c r="B1331" s="373"/>
      <c r="C1331" s="287"/>
      <c r="D1331" s="285"/>
      <c r="E1331" s="287"/>
      <c r="F1331" s="7"/>
      <c r="G1331" s="287"/>
      <c r="H1331" s="7"/>
      <c r="I1331" s="287"/>
      <c r="J1331" s="287"/>
      <c r="K1331" s="28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</row>
    <row r="1332" ht="18.0" customHeight="1">
      <c r="A1332" s="287"/>
      <c r="B1332" s="373"/>
      <c r="C1332" s="287"/>
      <c r="D1332" s="285"/>
      <c r="E1332" s="287"/>
      <c r="F1332" s="7"/>
      <c r="G1332" s="287"/>
      <c r="H1332" s="7"/>
      <c r="I1332" s="287"/>
      <c r="J1332" s="287"/>
      <c r="K1332" s="28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</row>
    <row r="1333" ht="18.0" customHeight="1">
      <c r="A1333" s="287"/>
      <c r="B1333" s="373"/>
      <c r="C1333" s="287"/>
      <c r="D1333" s="285"/>
      <c r="E1333" s="287"/>
      <c r="F1333" s="7"/>
      <c r="G1333" s="287"/>
      <c r="H1333" s="7"/>
      <c r="I1333" s="287"/>
      <c r="J1333" s="287"/>
      <c r="K1333" s="28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</row>
    <row r="1334" ht="18.0" customHeight="1">
      <c r="A1334" s="287"/>
      <c r="B1334" s="373"/>
      <c r="C1334" s="287"/>
      <c r="D1334" s="285"/>
      <c r="E1334" s="287"/>
      <c r="F1334" s="7"/>
      <c r="G1334" s="287"/>
      <c r="H1334" s="7"/>
      <c r="I1334" s="287"/>
      <c r="J1334" s="287"/>
      <c r="K1334" s="28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</row>
    <row r="1335" ht="18.0" customHeight="1">
      <c r="A1335" s="287"/>
      <c r="B1335" s="373"/>
      <c r="C1335" s="287"/>
      <c r="D1335" s="285"/>
      <c r="E1335" s="287"/>
      <c r="F1335" s="7"/>
      <c r="G1335" s="287"/>
      <c r="H1335" s="7"/>
      <c r="I1335" s="287"/>
      <c r="J1335" s="287"/>
      <c r="K1335" s="28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</row>
    <row r="1336" ht="18.0" customHeight="1">
      <c r="A1336" s="287"/>
      <c r="B1336" s="373"/>
      <c r="C1336" s="287"/>
      <c r="D1336" s="285"/>
      <c r="E1336" s="287"/>
      <c r="F1336" s="7"/>
      <c r="G1336" s="287"/>
      <c r="H1336" s="7"/>
      <c r="I1336" s="287"/>
      <c r="J1336" s="287"/>
      <c r="K1336" s="28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</row>
    <row r="1337" ht="18.0" customHeight="1">
      <c r="A1337" s="287"/>
      <c r="B1337" s="373"/>
      <c r="C1337" s="287"/>
      <c r="D1337" s="285"/>
      <c r="E1337" s="287"/>
      <c r="F1337" s="7"/>
      <c r="G1337" s="287"/>
      <c r="H1337" s="7"/>
      <c r="I1337" s="287"/>
      <c r="J1337" s="287"/>
      <c r="K1337" s="28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</row>
    <row r="1338" ht="18.0" customHeight="1">
      <c r="A1338" s="287"/>
      <c r="B1338" s="373"/>
      <c r="C1338" s="287"/>
      <c r="D1338" s="285"/>
      <c r="E1338" s="287"/>
      <c r="F1338" s="7"/>
      <c r="G1338" s="287"/>
      <c r="H1338" s="7"/>
      <c r="I1338" s="287"/>
      <c r="J1338" s="287"/>
      <c r="K1338" s="28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</row>
    <row r="1339" ht="18.0" customHeight="1">
      <c r="A1339" s="287"/>
      <c r="B1339" s="373"/>
      <c r="C1339" s="287"/>
      <c r="D1339" s="285"/>
      <c r="E1339" s="287"/>
      <c r="F1339" s="7"/>
      <c r="G1339" s="287"/>
      <c r="H1339" s="7"/>
      <c r="I1339" s="287"/>
      <c r="J1339" s="287"/>
      <c r="K1339" s="28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</row>
    <row r="1340" ht="18.0" customHeight="1">
      <c r="A1340" s="287"/>
      <c r="B1340" s="373"/>
      <c r="C1340" s="287"/>
      <c r="D1340" s="285"/>
      <c r="E1340" s="287"/>
      <c r="F1340" s="7"/>
      <c r="G1340" s="287"/>
      <c r="H1340" s="7"/>
      <c r="I1340" s="287"/>
      <c r="J1340" s="287"/>
      <c r="K1340" s="28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</row>
    <row r="1341" ht="18.0" customHeight="1">
      <c r="A1341" s="287"/>
      <c r="B1341" s="373"/>
      <c r="C1341" s="287"/>
      <c r="D1341" s="285"/>
      <c r="E1341" s="287"/>
      <c r="F1341" s="7"/>
      <c r="G1341" s="287"/>
      <c r="H1341" s="7"/>
      <c r="I1341" s="287"/>
      <c r="J1341" s="287"/>
      <c r="K1341" s="28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</row>
    <row r="1342" ht="18.0" customHeight="1">
      <c r="A1342" s="287"/>
      <c r="B1342" s="373"/>
      <c r="C1342" s="287"/>
      <c r="D1342" s="285"/>
      <c r="E1342" s="287"/>
      <c r="F1342" s="7"/>
      <c r="G1342" s="287"/>
      <c r="H1342" s="7"/>
      <c r="I1342" s="287"/>
      <c r="J1342" s="287"/>
      <c r="K1342" s="28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</row>
    <row r="1343" ht="18.0" customHeight="1">
      <c r="A1343" s="287"/>
      <c r="B1343" s="373"/>
      <c r="C1343" s="287"/>
      <c r="D1343" s="285"/>
      <c r="E1343" s="287"/>
      <c r="F1343" s="7"/>
      <c r="G1343" s="287"/>
      <c r="H1343" s="7"/>
      <c r="I1343" s="287"/>
      <c r="J1343" s="287"/>
      <c r="K1343" s="28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</row>
    <row r="1344" ht="18.0" customHeight="1">
      <c r="A1344" s="287"/>
      <c r="B1344" s="373"/>
      <c r="C1344" s="287"/>
      <c r="D1344" s="285"/>
      <c r="E1344" s="287"/>
      <c r="F1344" s="7"/>
      <c r="G1344" s="287"/>
      <c r="H1344" s="7"/>
      <c r="I1344" s="287"/>
      <c r="J1344" s="287"/>
      <c r="K1344" s="28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</row>
    <row r="1345" ht="18.0" customHeight="1">
      <c r="A1345" s="287"/>
      <c r="B1345" s="373"/>
      <c r="C1345" s="287"/>
      <c r="D1345" s="285"/>
      <c r="E1345" s="287"/>
      <c r="F1345" s="7"/>
      <c r="G1345" s="287"/>
      <c r="H1345" s="7"/>
      <c r="I1345" s="287"/>
      <c r="J1345" s="287"/>
      <c r="K1345" s="28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</row>
    <row r="1346" ht="18.0" customHeight="1">
      <c r="A1346" s="287"/>
      <c r="B1346" s="373"/>
      <c r="C1346" s="287"/>
      <c r="D1346" s="285"/>
      <c r="E1346" s="287"/>
      <c r="F1346" s="7"/>
      <c r="G1346" s="287"/>
      <c r="H1346" s="7"/>
      <c r="I1346" s="287"/>
      <c r="J1346" s="287"/>
      <c r="K1346" s="28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</row>
    <row r="1347" ht="18.0" customHeight="1">
      <c r="A1347" s="287"/>
      <c r="B1347" s="373"/>
      <c r="C1347" s="287"/>
      <c r="D1347" s="285"/>
      <c r="E1347" s="287"/>
      <c r="F1347" s="7"/>
      <c r="G1347" s="287"/>
      <c r="H1347" s="7"/>
      <c r="I1347" s="287"/>
      <c r="J1347" s="287"/>
      <c r="K1347" s="28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</row>
    <row r="1348" ht="18.0" customHeight="1">
      <c r="A1348" s="287"/>
      <c r="B1348" s="373"/>
      <c r="C1348" s="287"/>
      <c r="D1348" s="285"/>
      <c r="E1348" s="287"/>
      <c r="F1348" s="7"/>
      <c r="G1348" s="287"/>
      <c r="H1348" s="7"/>
      <c r="I1348" s="287"/>
      <c r="J1348" s="287"/>
      <c r="K1348" s="28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</row>
    <row r="1349" ht="18.0" customHeight="1">
      <c r="A1349" s="287"/>
      <c r="B1349" s="373"/>
      <c r="C1349" s="287"/>
      <c r="D1349" s="285"/>
      <c r="E1349" s="287"/>
      <c r="F1349" s="7"/>
      <c r="G1349" s="287"/>
      <c r="H1349" s="7"/>
      <c r="I1349" s="287"/>
      <c r="J1349" s="287"/>
      <c r="K1349" s="28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</row>
    <row r="1350" ht="18.0" customHeight="1">
      <c r="A1350" s="287"/>
      <c r="B1350" s="373"/>
      <c r="C1350" s="287"/>
      <c r="D1350" s="285"/>
      <c r="E1350" s="287"/>
      <c r="F1350" s="7"/>
      <c r="G1350" s="287"/>
      <c r="H1350" s="7"/>
      <c r="I1350" s="287"/>
      <c r="J1350" s="287"/>
      <c r="K1350" s="28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</row>
    <row r="1351" ht="18.0" customHeight="1">
      <c r="A1351" s="287"/>
      <c r="B1351" s="373"/>
      <c r="C1351" s="287"/>
      <c r="D1351" s="285"/>
      <c r="E1351" s="287"/>
      <c r="F1351" s="7"/>
      <c r="G1351" s="287"/>
      <c r="H1351" s="7"/>
      <c r="I1351" s="287"/>
      <c r="J1351" s="287"/>
      <c r="K1351" s="28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</row>
    <row r="1352" ht="18.0" customHeight="1">
      <c r="A1352" s="287"/>
      <c r="B1352" s="373"/>
      <c r="C1352" s="287"/>
      <c r="D1352" s="285"/>
      <c r="E1352" s="287"/>
      <c r="F1352" s="7"/>
      <c r="G1352" s="287"/>
      <c r="H1352" s="7"/>
      <c r="I1352" s="287"/>
      <c r="J1352" s="287"/>
      <c r="K1352" s="28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</row>
    <row r="1353" ht="18.0" customHeight="1">
      <c r="A1353" s="287"/>
      <c r="B1353" s="373"/>
      <c r="C1353" s="287"/>
      <c r="D1353" s="285"/>
      <c r="E1353" s="287"/>
      <c r="F1353" s="7"/>
      <c r="G1353" s="287"/>
      <c r="H1353" s="7"/>
      <c r="I1353" s="287"/>
      <c r="J1353" s="287"/>
      <c r="K1353" s="28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</row>
    <row r="1354" ht="18.0" customHeight="1">
      <c r="A1354" s="287"/>
      <c r="B1354" s="373"/>
      <c r="C1354" s="287"/>
      <c r="D1354" s="285"/>
      <c r="E1354" s="287"/>
      <c r="F1354" s="7"/>
      <c r="G1354" s="287"/>
      <c r="H1354" s="7"/>
      <c r="I1354" s="287"/>
      <c r="J1354" s="287"/>
      <c r="K1354" s="28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</row>
    <row r="1355" ht="18.0" customHeight="1">
      <c r="A1355" s="287"/>
      <c r="B1355" s="373"/>
      <c r="C1355" s="287"/>
      <c r="D1355" s="285"/>
      <c r="E1355" s="287"/>
      <c r="F1355" s="7"/>
      <c r="G1355" s="287"/>
      <c r="H1355" s="7"/>
      <c r="I1355" s="287"/>
      <c r="J1355" s="287"/>
      <c r="K1355" s="28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</row>
    <row r="1356" ht="18.0" customHeight="1">
      <c r="A1356" s="287"/>
      <c r="B1356" s="373"/>
      <c r="C1356" s="287"/>
      <c r="D1356" s="285"/>
      <c r="E1356" s="287"/>
      <c r="F1356" s="7"/>
      <c r="G1356" s="287"/>
      <c r="H1356" s="7"/>
      <c r="I1356" s="287"/>
      <c r="J1356" s="287"/>
      <c r="K1356" s="28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</row>
    <row r="1357" ht="18.0" customHeight="1">
      <c r="A1357" s="287"/>
      <c r="B1357" s="373"/>
      <c r="C1357" s="287"/>
      <c r="D1357" s="285"/>
      <c r="E1357" s="287"/>
      <c r="F1357" s="7"/>
      <c r="G1357" s="287"/>
      <c r="H1357" s="7"/>
      <c r="I1357" s="287"/>
      <c r="J1357" s="287"/>
      <c r="K1357" s="28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</row>
    <row r="1358" ht="18.0" customHeight="1">
      <c r="A1358" s="287"/>
      <c r="B1358" s="373"/>
      <c r="C1358" s="287"/>
      <c r="D1358" s="285"/>
      <c r="E1358" s="287"/>
      <c r="F1358" s="7"/>
      <c r="G1358" s="287"/>
      <c r="H1358" s="7"/>
      <c r="I1358" s="287"/>
      <c r="J1358" s="287"/>
      <c r="K1358" s="28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</row>
    <row r="1359" ht="18.0" customHeight="1">
      <c r="A1359" s="287"/>
      <c r="B1359" s="373"/>
      <c r="C1359" s="287"/>
      <c r="D1359" s="285"/>
      <c r="E1359" s="287"/>
      <c r="F1359" s="7"/>
      <c r="G1359" s="287"/>
      <c r="H1359" s="7"/>
      <c r="I1359" s="287"/>
      <c r="J1359" s="287"/>
      <c r="K1359" s="28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</row>
    <row r="1360" ht="18.0" customHeight="1">
      <c r="A1360" s="287"/>
      <c r="B1360" s="373"/>
      <c r="C1360" s="287"/>
      <c r="D1360" s="285"/>
      <c r="E1360" s="287"/>
      <c r="F1360" s="7"/>
      <c r="G1360" s="287"/>
      <c r="H1360" s="7"/>
      <c r="I1360" s="287"/>
      <c r="J1360" s="287"/>
      <c r="K1360" s="28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</row>
    <row r="1361" ht="18.0" customHeight="1">
      <c r="A1361" s="287"/>
      <c r="B1361" s="373"/>
      <c r="C1361" s="287"/>
      <c r="D1361" s="285"/>
      <c r="E1361" s="287"/>
      <c r="F1361" s="7"/>
      <c r="G1361" s="287"/>
      <c r="H1361" s="7"/>
      <c r="I1361" s="287"/>
      <c r="J1361" s="287"/>
      <c r="K1361" s="28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</row>
    <row r="1362" ht="18.0" customHeight="1">
      <c r="A1362" s="287"/>
      <c r="B1362" s="373"/>
      <c r="C1362" s="287"/>
      <c r="D1362" s="285"/>
      <c r="E1362" s="287"/>
      <c r="F1362" s="7"/>
      <c r="G1362" s="287"/>
      <c r="H1362" s="7"/>
      <c r="I1362" s="287"/>
      <c r="J1362" s="287"/>
      <c r="K1362" s="28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</row>
    <row r="1363" ht="18.0" customHeight="1">
      <c r="A1363" s="287"/>
      <c r="B1363" s="373"/>
      <c r="C1363" s="287"/>
      <c r="D1363" s="285"/>
      <c r="E1363" s="287"/>
      <c r="F1363" s="7"/>
      <c r="G1363" s="287"/>
      <c r="H1363" s="7"/>
      <c r="I1363" s="287"/>
      <c r="J1363" s="287"/>
      <c r="K1363" s="28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</row>
    <row r="1364" ht="18.0" customHeight="1">
      <c r="A1364" s="287"/>
      <c r="B1364" s="373"/>
      <c r="C1364" s="287"/>
      <c r="D1364" s="285"/>
      <c r="E1364" s="287"/>
      <c r="F1364" s="7"/>
      <c r="G1364" s="287"/>
      <c r="H1364" s="7"/>
      <c r="I1364" s="287"/>
      <c r="J1364" s="287"/>
      <c r="K1364" s="28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</row>
    <row r="1365" ht="18.0" customHeight="1">
      <c r="A1365" s="287"/>
      <c r="B1365" s="373"/>
      <c r="C1365" s="287"/>
      <c r="D1365" s="285"/>
      <c r="E1365" s="287"/>
      <c r="F1365" s="7"/>
      <c r="G1365" s="287"/>
      <c r="H1365" s="7"/>
      <c r="I1365" s="287"/>
      <c r="J1365" s="287"/>
      <c r="K1365" s="28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</row>
    <row r="1366" ht="18.0" customHeight="1">
      <c r="A1366" s="287"/>
      <c r="B1366" s="373"/>
      <c r="C1366" s="287"/>
      <c r="D1366" s="285"/>
      <c r="E1366" s="287"/>
      <c r="F1366" s="7"/>
      <c r="G1366" s="287"/>
      <c r="H1366" s="7"/>
      <c r="I1366" s="287"/>
      <c r="J1366" s="287"/>
      <c r="K1366" s="28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</row>
    <row r="1367" ht="18.0" customHeight="1">
      <c r="A1367" s="287"/>
      <c r="B1367" s="373"/>
      <c r="C1367" s="287"/>
      <c r="D1367" s="285"/>
      <c r="E1367" s="287"/>
      <c r="F1367" s="7"/>
      <c r="G1367" s="287"/>
      <c r="H1367" s="7"/>
      <c r="I1367" s="287"/>
      <c r="J1367" s="287"/>
      <c r="K1367" s="28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</row>
    <row r="1368" ht="18.0" customHeight="1">
      <c r="A1368" s="287"/>
      <c r="B1368" s="373"/>
      <c r="C1368" s="287"/>
      <c r="D1368" s="285"/>
      <c r="E1368" s="287"/>
      <c r="F1368" s="7"/>
      <c r="G1368" s="287"/>
      <c r="H1368" s="7"/>
      <c r="I1368" s="287"/>
      <c r="J1368" s="287"/>
      <c r="K1368" s="28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</row>
    <row r="1369" ht="18.0" customHeight="1">
      <c r="A1369" s="287"/>
      <c r="B1369" s="373"/>
      <c r="C1369" s="287"/>
      <c r="D1369" s="285"/>
      <c r="E1369" s="287"/>
      <c r="F1369" s="7"/>
      <c r="G1369" s="287"/>
      <c r="H1369" s="7"/>
      <c r="I1369" s="287"/>
      <c r="J1369" s="287"/>
      <c r="K1369" s="28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</row>
    <row r="1370" ht="18.0" customHeight="1">
      <c r="A1370" s="287"/>
      <c r="B1370" s="373"/>
      <c r="C1370" s="287"/>
      <c r="D1370" s="285"/>
      <c r="E1370" s="287"/>
      <c r="F1370" s="7"/>
      <c r="G1370" s="287"/>
      <c r="H1370" s="7"/>
      <c r="I1370" s="287"/>
      <c r="J1370" s="287"/>
      <c r="K1370" s="28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</row>
    <row r="1371" ht="18.0" customHeight="1">
      <c r="A1371" s="287"/>
      <c r="B1371" s="373"/>
      <c r="C1371" s="287"/>
      <c r="D1371" s="285"/>
      <c r="E1371" s="287"/>
      <c r="F1371" s="7"/>
      <c r="G1371" s="287"/>
      <c r="H1371" s="7"/>
      <c r="I1371" s="287"/>
      <c r="J1371" s="287"/>
      <c r="K1371" s="28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</row>
    <row r="1372" ht="18.0" customHeight="1">
      <c r="A1372" s="287"/>
      <c r="B1372" s="373"/>
      <c r="C1372" s="287"/>
      <c r="D1372" s="285"/>
      <c r="E1372" s="287"/>
      <c r="F1372" s="7"/>
      <c r="G1372" s="287"/>
      <c r="H1372" s="7"/>
      <c r="I1372" s="287"/>
      <c r="J1372" s="287"/>
      <c r="K1372" s="28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</row>
    <row r="1373" ht="18.0" customHeight="1">
      <c r="A1373" s="287"/>
      <c r="B1373" s="373"/>
      <c r="C1373" s="287"/>
      <c r="D1373" s="285"/>
      <c r="E1373" s="287"/>
      <c r="F1373" s="7"/>
      <c r="G1373" s="287"/>
      <c r="H1373" s="7"/>
      <c r="I1373" s="287"/>
      <c r="J1373" s="287"/>
      <c r="K1373" s="28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</row>
    <row r="1374" ht="18.0" customHeight="1">
      <c r="A1374" s="287"/>
      <c r="B1374" s="373"/>
      <c r="C1374" s="287"/>
      <c r="D1374" s="285"/>
      <c r="E1374" s="287"/>
      <c r="F1374" s="7"/>
      <c r="G1374" s="287"/>
      <c r="H1374" s="7"/>
      <c r="I1374" s="287"/>
      <c r="J1374" s="287"/>
      <c r="K1374" s="28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</row>
    <row r="1375" ht="18.0" customHeight="1">
      <c r="A1375" s="287"/>
      <c r="B1375" s="373"/>
      <c r="C1375" s="287"/>
      <c r="D1375" s="285"/>
      <c r="E1375" s="287"/>
      <c r="F1375" s="7"/>
      <c r="G1375" s="287"/>
      <c r="H1375" s="7"/>
      <c r="I1375" s="287"/>
      <c r="J1375" s="287"/>
      <c r="K1375" s="28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</row>
    <row r="1376" ht="18.0" customHeight="1">
      <c r="A1376" s="287"/>
      <c r="B1376" s="373"/>
      <c r="C1376" s="287"/>
      <c r="D1376" s="285"/>
      <c r="E1376" s="287"/>
      <c r="F1376" s="7"/>
      <c r="G1376" s="287"/>
      <c r="H1376" s="7"/>
      <c r="I1376" s="287"/>
      <c r="J1376" s="287"/>
      <c r="K1376" s="28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</row>
    <row r="1377" ht="18.0" customHeight="1">
      <c r="A1377" s="287"/>
      <c r="B1377" s="373"/>
      <c r="C1377" s="287"/>
      <c r="D1377" s="285"/>
      <c r="E1377" s="287"/>
      <c r="F1377" s="7"/>
      <c r="G1377" s="287"/>
      <c r="H1377" s="7"/>
      <c r="I1377" s="287"/>
      <c r="J1377" s="287"/>
      <c r="K1377" s="28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</row>
    <row r="1378" ht="18.0" customHeight="1">
      <c r="A1378" s="287"/>
      <c r="B1378" s="373"/>
      <c r="C1378" s="287"/>
      <c r="D1378" s="285"/>
      <c r="E1378" s="287"/>
      <c r="F1378" s="7"/>
      <c r="G1378" s="287"/>
      <c r="H1378" s="7"/>
      <c r="I1378" s="287"/>
      <c r="J1378" s="287"/>
      <c r="K1378" s="28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</row>
    <row r="1379" ht="18.0" customHeight="1">
      <c r="A1379" s="287"/>
      <c r="B1379" s="373"/>
      <c r="C1379" s="287"/>
      <c r="D1379" s="285"/>
      <c r="E1379" s="287"/>
      <c r="F1379" s="7"/>
      <c r="G1379" s="287"/>
      <c r="H1379" s="7"/>
      <c r="I1379" s="287"/>
      <c r="J1379" s="287"/>
      <c r="K1379" s="28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</row>
    <row r="1380" ht="18.0" customHeight="1">
      <c r="A1380" s="287"/>
      <c r="B1380" s="373"/>
      <c r="C1380" s="287"/>
      <c r="D1380" s="285"/>
      <c r="E1380" s="287"/>
      <c r="F1380" s="7"/>
      <c r="G1380" s="287"/>
      <c r="H1380" s="7"/>
      <c r="I1380" s="287"/>
      <c r="J1380" s="287"/>
      <c r="K1380" s="28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</row>
    <row r="1381" ht="18.0" customHeight="1">
      <c r="A1381" s="287"/>
      <c r="B1381" s="373"/>
      <c r="C1381" s="287"/>
      <c r="D1381" s="285"/>
      <c r="E1381" s="287"/>
      <c r="F1381" s="7"/>
      <c r="G1381" s="287"/>
      <c r="H1381" s="7"/>
      <c r="I1381" s="287"/>
      <c r="J1381" s="287"/>
      <c r="K1381" s="28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</row>
    <row r="1382" ht="18.0" customHeight="1">
      <c r="A1382" s="287"/>
      <c r="B1382" s="373"/>
      <c r="C1382" s="287"/>
      <c r="D1382" s="285"/>
      <c r="E1382" s="287"/>
      <c r="F1382" s="7"/>
      <c r="G1382" s="287"/>
      <c r="H1382" s="7"/>
      <c r="I1382" s="287"/>
      <c r="J1382" s="287"/>
      <c r="K1382" s="28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</row>
    <row r="1383" ht="18.0" customHeight="1">
      <c r="A1383" s="287"/>
      <c r="B1383" s="373"/>
      <c r="C1383" s="287"/>
      <c r="D1383" s="285"/>
      <c r="E1383" s="287"/>
      <c r="F1383" s="7"/>
      <c r="G1383" s="287"/>
      <c r="H1383" s="7"/>
      <c r="I1383" s="287"/>
      <c r="J1383" s="287"/>
      <c r="K1383" s="28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</row>
    <row r="1384" ht="18.0" customHeight="1">
      <c r="A1384" s="287"/>
      <c r="B1384" s="373"/>
      <c r="C1384" s="287"/>
      <c r="D1384" s="285"/>
      <c r="E1384" s="287"/>
      <c r="F1384" s="7"/>
      <c r="G1384" s="287"/>
      <c r="H1384" s="7"/>
      <c r="I1384" s="287"/>
      <c r="J1384" s="287"/>
      <c r="K1384" s="28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</row>
    <row r="1385" ht="18.0" customHeight="1">
      <c r="A1385" s="287"/>
      <c r="B1385" s="373"/>
      <c r="C1385" s="287"/>
      <c r="D1385" s="285"/>
      <c r="E1385" s="287"/>
      <c r="F1385" s="7"/>
      <c r="G1385" s="287"/>
      <c r="H1385" s="7"/>
      <c r="I1385" s="287"/>
      <c r="J1385" s="287"/>
      <c r="K1385" s="28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</row>
    <row r="1386" ht="18.0" customHeight="1">
      <c r="A1386" s="287"/>
      <c r="B1386" s="373"/>
      <c r="C1386" s="287"/>
      <c r="D1386" s="285"/>
      <c r="E1386" s="287"/>
      <c r="F1386" s="7"/>
      <c r="G1386" s="287"/>
      <c r="H1386" s="7"/>
      <c r="I1386" s="287"/>
      <c r="J1386" s="287"/>
      <c r="K1386" s="28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</row>
    <row r="1387" ht="18.0" customHeight="1">
      <c r="A1387" s="287"/>
      <c r="B1387" s="373"/>
      <c r="C1387" s="287"/>
      <c r="D1387" s="285"/>
      <c r="E1387" s="287"/>
      <c r="F1387" s="7"/>
      <c r="G1387" s="287"/>
      <c r="H1387" s="7"/>
      <c r="I1387" s="287"/>
      <c r="J1387" s="287"/>
      <c r="K1387" s="28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</row>
    <row r="1388" ht="18.0" customHeight="1">
      <c r="A1388" s="287"/>
      <c r="B1388" s="373"/>
      <c r="C1388" s="287"/>
      <c r="D1388" s="285"/>
      <c r="E1388" s="287"/>
      <c r="F1388" s="7"/>
      <c r="G1388" s="287"/>
      <c r="H1388" s="7"/>
      <c r="I1388" s="287"/>
      <c r="J1388" s="287"/>
      <c r="K1388" s="28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</row>
    <row r="1389" ht="18.0" customHeight="1">
      <c r="A1389" s="287"/>
      <c r="B1389" s="373"/>
      <c r="C1389" s="287"/>
      <c r="D1389" s="285"/>
      <c r="E1389" s="287"/>
      <c r="F1389" s="7"/>
      <c r="G1389" s="287"/>
      <c r="H1389" s="7"/>
      <c r="I1389" s="287"/>
      <c r="J1389" s="287"/>
      <c r="K1389" s="28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</row>
    <row r="1390" ht="18.0" customHeight="1">
      <c r="A1390" s="287"/>
      <c r="B1390" s="373"/>
      <c r="C1390" s="287"/>
      <c r="D1390" s="285"/>
      <c r="E1390" s="287"/>
      <c r="F1390" s="7"/>
      <c r="G1390" s="287"/>
      <c r="H1390" s="7"/>
      <c r="I1390" s="287"/>
      <c r="J1390" s="287"/>
      <c r="K1390" s="28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</row>
    <row r="1391" ht="18.0" customHeight="1">
      <c r="A1391" s="287"/>
      <c r="B1391" s="373"/>
      <c r="C1391" s="287"/>
      <c r="D1391" s="285"/>
      <c r="E1391" s="287"/>
      <c r="F1391" s="7"/>
      <c r="G1391" s="287"/>
      <c r="H1391" s="7"/>
      <c r="I1391" s="287"/>
      <c r="J1391" s="287"/>
      <c r="K1391" s="28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</row>
    <row r="1392" ht="18.0" customHeight="1">
      <c r="A1392" s="287"/>
      <c r="B1392" s="373"/>
      <c r="C1392" s="287"/>
      <c r="D1392" s="285"/>
      <c r="E1392" s="287"/>
      <c r="F1392" s="7"/>
      <c r="G1392" s="287"/>
      <c r="H1392" s="7"/>
      <c r="I1392" s="287"/>
      <c r="J1392" s="287"/>
      <c r="K1392" s="28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</row>
    <row r="1393" ht="18.0" customHeight="1">
      <c r="A1393" s="287"/>
      <c r="B1393" s="373"/>
      <c r="C1393" s="287"/>
      <c r="D1393" s="285"/>
      <c r="E1393" s="287"/>
      <c r="F1393" s="7"/>
      <c r="G1393" s="287"/>
      <c r="H1393" s="7"/>
      <c r="I1393" s="287"/>
      <c r="J1393" s="287"/>
      <c r="K1393" s="28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</row>
    <row r="1394" ht="18.0" customHeight="1">
      <c r="A1394" s="287"/>
      <c r="B1394" s="373"/>
      <c r="C1394" s="287"/>
      <c r="D1394" s="285"/>
      <c r="E1394" s="287"/>
      <c r="F1394" s="7"/>
      <c r="G1394" s="287"/>
      <c r="H1394" s="7"/>
      <c r="I1394" s="287"/>
      <c r="J1394" s="287"/>
      <c r="K1394" s="28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</row>
    <row r="1395" ht="18.0" customHeight="1">
      <c r="A1395" s="287"/>
      <c r="B1395" s="373"/>
      <c r="C1395" s="287"/>
      <c r="D1395" s="285"/>
      <c r="E1395" s="287"/>
      <c r="F1395" s="7"/>
      <c r="G1395" s="287"/>
      <c r="H1395" s="7"/>
      <c r="I1395" s="287"/>
      <c r="J1395" s="287"/>
      <c r="K1395" s="28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</row>
    <row r="1396" ht="18.0" customHeight="1">
      <c r="A1396" s="287"/>
      <c r="B1396" s="373"/>
      <c r="C1396" s="287"/>
      <c r="D1396" s="285"/>
      <c r="E1396" s="287"/>
      <c r="F1396" s="7"/>
      <c r="G1396" s="287"/>
      <c r="H1396" s="7"/>
      <c r="I1396" s="287"/>
      <c r="J1396" s="287"/>
      <c r="K1396" s="28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</row>
    <row r="1397" ht="18.0" customHeight="1">
      <c r="A1397" s="287"/>
      <c r="B1397" s="373"/>
      <c r="C1397" s="287"/>
      <c r="D1397" s="285"/>
      <c r="E1397" s="287"/>
      <c r="F1397" s="7"/>
      <c r="G1397" s="287"/>
      <c r="H1397" s="7"/>
      <c r="I1397" s="287"/>
      <c r="J1397" s="287"/>
      <c r="K1397" s="28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</row>
    <row r="1398" ht="18.0" customHeight="1">
      <c r="A1398" s="287"/>
      <c r="B1398" s="373"/>
      <c r="C1398" s="287"/>
      <c r="D1398" s="285"/>
      <c r="E1398" s="287"/>
      <c r="F1398" s="7"/>
      <c r="G1398" s="287"/>
      <c r="H1398" s="7"/>
      <c r="I1398" s="287"/>
      <c r="J1398" s="287"/>
      <c r="K1398" s="28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</row>
    <row r="1399" ht="18.0" customHeight="1">
      <c r="A1399" s="287"/>
      <c r="B1399" s="373"/>
      <c r="C1399" s="287"/>
      <c r="D1399" s="285"/>
      <c r="E1399" s="287"/>
      <c r="F1399" s="7"/>
      <c r="G1399" s="287"/>
      <c r="H1399" s="7"/>
      <c r="I1399" s="287"/>
      <c r="J1399" s="287"/>
      <c r="K1399" s="28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</row>
    <row r="1400" ht="18.0" customHeight="1">
      <c r="A1400" s="287"/>
      <c r="B1400" s="373"/>
      <c r="C1400" s="287"/>
      <c r="D1400" s="285"/>
      <c r="E1400" s="287"/>
      <c r="F1400" s="7"/>
      <c r="G1400" s="287"/>
      <c r="H1400" s="7"/>
      <c r="I1400" s="287"/>
      <c r="J1400" s="287"/>
      <c r="K1400" s="28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</row>
    <row r="1401" ht="18.0" customHeight="1">
      <c r="A1401" s="287"/>
      <c r="B1401" s="373"/>
      <c r="C1401" s="287"/>
      <c r="D1401" s="285"/>
      <c r="E1401" s="287"/>
      <c r="F1401" s="7"/>
      <c r="G1401" s="287"/>
      <c r="H1401" s="7"/>
      <c r="I1401" s="287"/>
      <c r="J1401" s="287"/>
      <c r="K1401" s="28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</row>
    <row r="1402" ht="18.0" customHeight="1">
      <c r="A1402" s="287"/>
      <c r="B1402" s="373"/>
      <c r="C1402" s="287"/>
      <c r="D1402" s="285"/>
      <c r="E1402" s="287"/>
      <c r="F1402" s="7"/>
      <c r="G1402" s="287"/>
      <c r="H1402" s="7"/>
      <c r="I1402" s="287"/>
      <c r="J1402" s="287"/>
      <c r="K1402" s="28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</row>
    <row r="1403" ht="18.0" customHeight="1">
      <c r="A1403" s="287"/>
      <c r="B1403" s="373"/>
      <c r="C1403" s="287"/>
      <c r="D1403" s="285"/>
      <c r="E1403" s="287"/>
      <c r="F1403" s="7"/>
      <c r="G1403" s="287"/>
      <c r="H1403" s="7"/>
      <c r="I1403" s="287"/>
      <c r="J1403" s="287"/>
      <c r="K1403" s="28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</row>
    <row r="1404" ht="18.0" customHeight="1">
      <c r="A1404" s="287"/>
      <c r="B1404" s="373"/>
      <c r="C1404" s="287"/>
      <c r="D1404" s="285"/>
      <c r="E1404" s="287"/>
      <c r="F1404" s="7"/>
      <c r="G1404" s="287"/>
      <c r="H1404" s="7"/>
      <c r="I1404" s="287"/>
      <c r="J1404" s="287"/>
      <c r="K1404" s="28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</row>
    <row r="1405" ht="18.0" customHeight="1">
      <c r="A1405" s="287"/>
      <c r="B1405" s="373"/>
      <c r="C1405" s="287"/>
      <c r="D1405" s="285"/>
      <c r="E1405" s="287"/>
      <c r="F1405" s="7"/>
      <c r="G1405" s="287"/>
      <c r="H1405" s="7"/>
      <c r="I1405" s="287"/>
      <c r="J1405" s="287"/>
      <c r="K1405" s="28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</row>
    <row r="1406" ht="18.0" customHeight="1">
      <c r="A1406" s="287"/>
      <c r="B1406" s="373"/>
      <c r="C1406" s="287"/>
      <c r="D1406" s="285"/>
      <c r="E1406" s="287"/>
      <c r="F1406" s="7"/>
      <c r="G1406" s="287"/>
      <c r="H1406" s="7"/>
      <c r="I1406" s="287"/>
      <c r="J1406" s="287"/>
      <c r="K1406" s="28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</row>
    <row r="1407" ht="18.0" customHeight="1">
      <c r="A1407" s="287"/>
      <c r="B1407" s="373"/>
      <c r="C1407" s="287"/>
      <c r="D1407" s="285"/>
      <c r="E1407" s="287"/>
      <c r="F1407" s="7"/>
      <c r="G1407" s="287"/>
      <c r="H1407" s="7"/>
      <c r="I1407" s="287"/>
      <c r="J1407" s="287"/>
      <c r="K1407" s="28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</row>
    <row r="1408" ht="18.0" customHeight="1">
      <c r="A1408" s="287"/>
      <c r="B1408" s="373"/>
      <c r="C1408" s="287"/>
      <c r="D1408" s="285"/>
      <c r="E1408" s="287"/>
      <c r="F1408" s="7"/>
      <c r="G1408" s="287"/>
      <c r="H1408" s="7"/>
      <c r="I1408" s="287"/>
      <c r="J1408" s="287"/>
      <c r="K1408" s="28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</row>
    <row r="1409" ht="18.0" customHeight="1">
      <c r="A1409" s="287"/>
      <c r="B1409" s="373"/>
      <c r="C1409" s="287"/>
      <c r="D1409" s="285"/>
      <c r="E1409" s="287"/>
      <c r="F1409" s="7"/>
      <c r="G1409" s="287"/>
      <c r="H1409" s="7"/>
      <c r="I1409" s="287"/>
      <c r="J1409" s="287"/>
      <c r="K1409" s="28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</row>
    <row r="1410" ht="18.0" customHeight="1">
      <c r="A1410" s="287"/>
      <c r="B1410" s="373"/>
      <c r="C1410" s="287"/>
      <c r="D1410" s="285"/>
      <c r="E1410" s="287"/>
      <c r="F1410" s="7"/>
      <c r="G1410" s="287"/>
      <c r="H1410" s="7"/>
      <c r="I1410" s="287"/>
      <c r="J1410" s="287"/>
      <c r="K1410" s="28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</row>
    <row r="1411" ht="18.0" customHeight="1">
      <c r="A1411" s="287"/>
      <c r="B1411" s="373"/>
      <c r="C1411" s="287"/>
      <c r="D1411" s="285"/>
      <c r="E1411" s="287"/>
      <c r="F1411" s="7"/>
      <c r="G1411" s="287"/>
      <c r="H1411" s="7"/>
      <c r="I1411" s="287"/>
      <c r="J1411" s="287"/>
      <c r="K1411" s="28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</row>
    <row r="1412" ht="18.0" customHeight="1">
      <c r="A1412" s="287"/>
      <c r="B1412" s="373"/>
      <c r="C1412" s="287"/>
      <c r="D1412" s="285"/>
      <c r="E1412" s="287"/>
      <c r="F1412" s="7"/>
      <c r="G1412" s="287"/>
      <c r="H1412" s="7"/>
      <c r="I1412" s="287"/>
      <c r="J1412" s="287"/>
      <c r="K1412" s="28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</row>
    <row r="1413" ht="18.0" customHeight="1">
      <c r="A1413" s="287"/>
      <c r="B1413" s="373"/>
      <c r="C1413" s="287"/>
      <c r="D1413" s="285"/>
      <c r="E1413" s="287"/>
      <c r="F1413" s="7"/>
      <c r="G1413" s="287"/>
      <c r="H1413" s="7"/>
      <c r="I1413" s="287"/>
      <c r="J1413" s="287"/>
      <c r="K1413" s="28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</row>
    <row r="1414" ht="18.0" customHeight="1">
      <c r="A1414" s="287"/>
      <c r="B1414" s="373"/>
      <c r="C1414" s="287"/>
      <c r="D1414" s="285"/>
      <c r="E1414" s="287"/>
      <c r="F1414" s="7"/>
      <c r="G1414" s="287"/>
      <c r="H1414" s="7"/>
      <c r="I1414" s="287"/>
      <c r="J1414" s="287"/>
      <c r="K1414" s="28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</row>
    <row r="1415" ht="18.0" customHeight="1">
      <c r="A1415" s="287"/>
      <c r="B1415" s="373"/>
      <c r="C1415" s="287"/>
      <c r="D1415" s="285"/>
      <c r="E1415" s="287"/>
      <c r="F1415" s="7"/>
      <c r="G1415" s="287"/>
      <c r="H1415" s="7"/>
      <c r="I1415" s="287"/>
      <c r="J1415" s="287"/>
      <c r="K1415" s="28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</row>
    <row r="1416" ht="18.0" customHeight="1">
      <c r="A1416" s="287"/>
      <c r="B1416" s="373"/>
      <c r="C1416" s="287"/>
      <c r="D1416" s="285"/>
      <c r="E1416" s="287"/>
      <c r="F1416" s="7"/>
      <c r="G1416" s="287"/>
      <c r="H1416" s="7"/>
      <c r="I1416" s="287"/>
      <c r="J1416" s="287"/>
      <c r="K1416" s="28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</row>
    <row r="1417" ht="18.0" customHeight="1">
      <c r="A1417" s="287"/>
      <c r="B1417" s="373"/>
      <c r="C1417" s="287"/>
      <c r="D1417" s="285"/>
      <c r="E1417" s="287"/>
      <c r="F1417" s="7"/>
      <c r="G1417" s="287"/>
      <c r="H1417" s="7"/>
      <c r="I1417" s="287"/>
      <c r="J1417" s="287"/>
      <c r="K1417" s="28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</row>
    <row r="1418" ht="18.0" customHeight="1">
      <c r="A1418" s="287"/>
      <c r="B1418" s="373"/>
      <c r="C1418" s="287"/>
      <c r="D1418" s="285"/>
      <c r="E1418" s="287"/>
      <c r="F1418" s="7"/>
      <c r="G1418" s="287"/>
      <c r="H1418" s="7"/>
      <c r="I1418" s="287"/>
      <c r="J1418" s="287"/>
      <c r="K1418" s="28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</row>
    <row r="1419" ht="18.0" customHeight="1">
      <c r="A1419" s="287"/>
      <c r="B1419" s="373"/>
      <c r="C1419" s="287"/>
      <c r="D1419" s="285"/>
      <c r="E1419" s="287"/>
      <c r="F1419" s="7"/>
      <c r="G1419" s="287"/>
      <c r="H1419" s="7"/>
      <c r="I1419" s="287"/>
      <c r="J1419" s="287"/>
      <c r="K1419" s="28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</row>
    <row r="1420" ht="18.0" customHeight="1">
      <c r="A1420" s="287"/>
      <c r="B1420" s="373"/>
      <c r="C1420" s="287"/>
      <c r="D1420" s="285"/>
      <c r="E1420" s="287"/>
      <c r="F1420" s="7"/>
      <c r="G1420" s="287"/>
      <c r="H1420" s="7"/>
      <c r="I1420" s="287"/>
      <c r="J1420" s="287"/>
      <c r="K1420" s="28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</row>
    <row r="1421" ht="18.0" customHeight="1">
      <c r="A1421" s="287"/>
      <c r="B1421" s="373"/>
      <c r="C1421" s="287"/>
      <c r="D1421" s="285"/>
      <c r="E1421" s="287"/>
      <c r="F1421" s="7"/>
      <c r="G1421" s="287"/>
      <c r="H1421" s="7"/>
      <c r="I1421" s="287"/>
      <c r="J1421" s="287"/>
      <c r="K1421" s="28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</row>
    <row r="1422" ht="18.0" customHeight="1">
      <c r="A1422" s="287"/>
      <c r="B1422" s="373"/>
      <c r="C1422" s="287"/>
      <c r="D1422" s="285"/>
      <c r="E1422" s="287"/>
      <c r="F1422" s="7"/>
      <c r="G1422" s="287"/>
      <c r="H1422" s="7"/>
      <c r="I1422" s="287"/>
      <c r="J1422" s="287"/>
      <c r="K1422" s="28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</row>
    <row r="1423" ht="18.0" customHeight="1">
      <c r="A1423" s="287"/>
      <c r="B1423" s="373"/>
      <c r="C1423" s="287"/>
      <c r="D1423" s="285"/>
      <c r="E1423" s="287"/>
      <c r="F1423" s="7"/>
      <c r="G1423" s="287"/>
      <c r="H1423" s="7"/>
      <c r="I1423" s="287"/>
      <c r="J1423" s="287"/>
      <c r="K1423" s="28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</row>
    <row r="1424" ht="18.0" customHeight="1">
      <c r="A1424" s="287"/>
      <c r="B1424" s="373"/>
      <c r="C1424" s="287"/>
      <c r="D1424" s="285"/>
      <c r="E1424" s="287"/>
      <c r="F1424" s="7"/>
      <c r="G1424" s="287"/>
      <c r="H1424" s="7"/>
      <c r="I1424" s="287"/>
      <c r="J1424" s="287"/>
      <c r="K1424" s="28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</row>
    <row r="1425" ht="18.0" customHeight="1">
      <c r="A1425" s="287"/>
      <c r="B1425" s="373"/>
      <c r="C1425" s="287"/>
      <c r="D1425" s="285"/>
      <c r="E1425" s="287"/>
      <c r="F1425" s="7"/>
      <c r="G1425" s="287"/>
      <c r="H1425" s="7"/>
      <c r="I1425" s="287"/>
      <c r="J1425" s="287"/>
      <c r="K1425" s="28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</row>
    <row r="1426" ht="18.0" customHeight="1">
      <c r="A1426" s="287"/>
      <c r="B1426" s="373"/>
      <c r="C1426" s="287"/>
      <c r="D1426" s="285"/>
      <c r="E1426" s="287"/>
      <c r="F1426" s="7"/>
      <c r="G1426" s="287"/>
      <c r="H1426" s="7"/>
      <c r="I1426" s="287"/>
      <c r="J1426" s="287"/>
      <c r="K1426" s="28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</row>
    <row r="1427" ht="18.0" customHeight="1">
      <c r="A1427" s="287"/>
      <c r="B1427" s="373"/>
      <c r="C1427" s="287"/>
      <c r="D1427" s="285"/>
      <c r="E1427" s="287"/>
      <c r="F1427" s="7"/>
      <c r="G1427" s="287"/>
      <c r="H1427" s="7"/>
      <c r="I1427" s="287"/>
      <c r="J1427" s="287"/>
      <c r="K1427" s="28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</row>
    <row r="1428" ht="18.0" customHeight="1">
      <c r="A1428" s="287"/>
      <c r="B1428" s="373"/>
      <c r="C1428" s="287"/>
      <c r="D1428" s="285"/>
      <c r="E1428" s="287"/>
      <c r="F1428" s="7"/>
      <c r="G1428" s="287"/>
      <c r="H1428" s="7"/>
      <c r="I1428" s="287"/>
      <c r="J1428" s="287"/>
      <c r="K1428" s="28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</row>
    <row r="1429" ht="18.0" customHeight="1">
      <c r="A1429" s="287"/>
      <c r="B1429" s="373"/>
      <c r="C1429" s="287"/>
      <c r="D1429" s="285"/>
      <c r="E1429" s="287"/>
      <c r="F1429" s="7"/>
      <c r="G1429" s="287"/>
      <c r="H1429" s="7"/>
      <c r="I1429" s="287"/>
      <c r="J1429" s="287"/>
      <c r="K1429" s="28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</row>
    <row r="1430" ht="18.0" customHeight="1">
      <c r="A1430" s="287"/>
      <c r="B1430" s="373"/>
      <c r="C1430" s="287"/>
      <c r="D1430" s="285"/>
      <c r="E1430" s="287"/>
      <c r="F1430" s="7"/>
      <c r="G1430" s="287"/>
      <c r="H1430" s="7"/>
      <c r="I1430" s="287"/>
      <c r="J1430" s="287"/>
      <c r="K1430" s="28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</row>
    <row r="1431" ht="18.0" customHeight="1">
      <c r="A1431" s="287"/>
      <c r="B1431" s="373"/>
      <c r="C1431" s="287"/>
      <c r="D1431" s="285"/>
      <c r="E1431" s="287"/>
      <c r="F1431" s="7"/>
      <c r="G1431" s="287"/>
      <c r="H1431" s="7"/>
      <c r="I1431" s="287"/>
      <c r="J1431" s="287"/>
      <c r="K1431" s="28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</row>
    <row r="1432" ht="18.0" customHeight="1">
      <c r="A1432" s="287"/>
      <c r="B1432" s="373"/>
      <c r="C1432" s="287"/>
      <c r="D1432" s="285"/>
      <c r="E1432" s="287"/>
      <c r="F1432" s="7"/>
      <c r="G1432" s="287"/>
      <c r="H1432" s="7"/>
      <c r="I1432" s="287"/>
      <c r="J1432" s="287"/>
      <c r="K1432" s="28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</row>
    <row r="1433" ht="18.0" customHeight="1">
      <c r="A1433" s="287"/>
      <c r="B1433" s="373"/>
      <c r="C1433" s="287"/>
      <c r="D1433" s="285"/>
      <c r="E1433" s="287"/>
      <c r="F1433" s="7"/>
      <c r="G1433" s="287"/>
      <c r="H1433" s="7"/>
      <c r="I1433" s="287"/>
      <c r="J1433" s="287"/>
      <c r="K1433" s="28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</row>
    <row r="1434" ht="18.0" customHeight="1">
      <c r="A1434" s="287"/>
      <c r="B1434" s="373"/>
      <c r="C1434" s="287"/>
      <c r="D1434" s="285"/>
      <c r="E1434" s="287"/>
      <c r="F1434" s="7"/>
      <c r="G1434" s="287"/>
      <c r="H1434" s="7"/>
      <c r="I1434" s="287"/>
      <c r="J1434" s="287"/>
      <c r="K1434" s="28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</row>
    <row r="1435" ht="18.0" customHeight="1">
      <c r="A1435" s="287"/>
      <c r="B1435" s="373"/>
      <c r="C1435" s="287"/>
      <c r="D1435" s="285"/>
      <c r="E1435" s="287"/>
      <c r="F1435" s="7"/>
      <c r="G1435" s="287"/>
      <c r="H1435" s="7"/>
      <c r="I1435" s="287"/>
      <c r="J1435" s="287"/>
      <c r="K1435" s="28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</row>
    <row r="1436" ht="18.0" customHeight="1">
      <c r="A1436" s="287"/>
      <c r="B1436" s="373"/>
      <c r="C1436" s="287"/>
      <c r="D1436" s="285"/>
      <c r="E1436" s="287"/>
      <c r="F1436" s="7"/>
      <c r="G1436" s="287"/>
      <c r="H1436" s="7"/>
      <c r="I1436" s="287"/>
      <c r="J1436" s="287"/>
      <c r="K1436" s="28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</row>
    <row r="1437" ht="18.0" customHeight="1">
      <c r="A1437" s="287"/>
      <c r="B1437" s="373"/>
      <c r="C1437" s="287"/>
      <c r="D1437" s="285"/>
      <c r="E1437" s="287"/>
      <c r="F1437" s="7"/>
      <c r="G1437" s="287"/>
      <c r="H1437" s="7"/>
      <c r="I1437" s="287"/>
      <c r="J1437" s="287"/>
      <c r="K1437" s="28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</row>
    <row r="1438" ht="18.0" customHeight="1">
      <c r="A1438" s="287"/>
      <c r="B1438" s="373"/>
      <c r="C1438" s="287"/>
      <c r="D1438" s="285"/>
      <c r="E1438" s="287"/>
      <c r="F1438" s="7"/>
      <c r="G1438" s="287"/>
      <c r="H1438" s="7"/>
      <c r="I1438" s="287"/>
      <c r="J1438" s="287"/>
      <c r="K1438" s="28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</row>
    <row r="1439" ht="18.0" customHeight="1">
      <c r="A1439" s="287"/>
      <c r="B1439" s="373"/>
      <c r="C1439" s="287"/>
      <c r="D1439" s="285"/>
      <c r="E1439" s="287"/>
      <c r="F1439" s="7"/>
      <c r="G1439" s="287"/>
      <c r="H1439" s="7"/>
      <c r="I1439" s="287"/>
      <c r="J1439" s="287"/>
      <c r="K1439" s="28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</row>
    <row r="1440" ht="18.0" customHeight="1">
      <c r="A1440" s="287"/>
      <c r="B1440" s="373"/>
      <c r="C1440" s="287"/>
      <c r="D1440" s="285"/>
      <c r="E1440" s="287"/>
      <c r="F1440" s="7"/>
      <c r="G1440" s="287"/>
      <c r="H1440" s="7"/>
      <c r="I1440" s="287"/>
      <c r="J1440" s="287"/>
      <c r="K1440" s="28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</row>
    <row r="1441" ht="18.0" customHeight="1">
      <c r="A1441" s="287"/>
      <c r="B1441" s="373"/>
      <c r="C1441" s="287"/>
      <c r="D1441" s="285"/>
      <c r="E1441" s="287"/>
      <c r="F1441" s="7"/>
      <c r="G1441" s="287"/>
      <c r="H1441" s="7"/>
      <c r="I1441" s="287"/>
      <c r="J1441" s="287"/>
      <c r="K1441" s="28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</row>
    <row r="1442" ht="18.0" customHeight="1">
      <c r="A1442" s="287"/>
      <c r="B1442" s="373"/>
      <c r="C1442" s="287"/>
      <c r="D1442" s="285"/>
      <c r="E1442" s="287"/>
      <c r="F1442" s="7"/>
      <c r="G1442" s="287"/>
      <c r="H1442" s="7"/>
      <c r="I1442" s="287"/>
      <c r="J1442" s="287"/>
      <c r="K1442" s="28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</row>
    <row r="1443" ht="18.0" customHeight="1">
      <c r="A1443" s="287"/>
      <c r="B1443" s="373"/>
      <c r="C1443" s="287"/>
      <c r="D1443" s="285"/>
      <c r="E1443" s="287"/>
      <c r="F1443" s="7"/>
      <c r="G1443" s="287"/>
      <c r="H1443" s="7"/>
      <c r="I1443" s="287"/>
      <c r="J1443" s="287"/>
      <c r="K1443" s="28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</row>
    <row r="1444" ht="18.0" customHeight="1">
      <c r="A1444" s="287"/>
      <c r="B1444" s="373"/>
      <c r="C1444" s="287"/>
      <c r="D1444" s="285"/>
      <c r="E1444" s="287"/>
      <c r="F1444" s="7"/>
      <c r="G1444" s="287"/>
      <c r="H1444" s="7"/>
      <c r="I1444" s="287"/>
      <c r="J1444" s="287"/>
      <c r="K1444" s="28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</row>
    <row r="1445" ht="18.0" customHeight="1">
      <c r="A1445" s="287"/>
      <c r="B1445" s="373"/>
      <c r="C1445" s="287"/>
      <c r="D1445" s="285"/>
      <c r="E1445" s="287"/>
      <c r="F1445" s="7"/>
      <c r="G1445" s="287"/>
      <c r="H1445" s="7"/>
      <c r="I1445" s="287"/>
      <c r="J1445" s="287"/>
      <c r="K1445" s="28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</row>
    <row r="1446" ht="18.0" customHeight="1">
      <c r="A1446" s="287"/>
      <c r="B1446" s="373"/>
      <c r="C1446" s="287"/>
      <c r="D1446" s="285"/>
      <c r="E1446" s="287"/>
      <c r="F1446" s="7"/>
      <c r="G1446" s="287"/>
      <c r="H1446" s="7"/>
      <c r="I1446" s="287"/>
      <c r="J1446" s="287"/>
      <c r="K1446" s="28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/>
      <c r="CW1446" s="7"/>
      <c r="CX1446" s="7"/>
      <c r="CY1446" s="7"/>
    </row>
    <row r="1447" ht="18.0" customHeight="1">
      <c r="A1447" s="287"/>
      <c r="B1447" s="373"/>
      <c r="C1447" s="287"/>
      <c r="D1447" s="285"/>
      <c r="E1447" s="287"/>
      <c r="F1447" s="7"/>
      <c r="G1447" s="287"/>
      <c r="H1447" s="7"/>
      <c r="I1447" s="287"/>
      <c r="J1447" s="287"/>
      <c r="K1447" s="28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/>
      <c r="CW1447" s="7"/>
      <c r="CX1447" s="7"/>
      <c r="CY1447" s="7"/>
    </row>
    <row r="1448" ht="18.0" customHeight="1">
      <c r="A1448" s="287"/>
      <c r="B1448" s="373"/>
      <c r="C1448" s="287"/>
      <c r="D1448" s="285"/>
      <c r="E1448" s="287"/>
      <c r="F1448" s="7"/>
      <c r="G1448" s="287"/>
      <c r="H1448" s="7"/>
      <c r="I1448" s="287"/>
      <c r="J1448" s="287"/>
      <c r="K1448" s="28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/>
      <c r="CW1448" s="7"/>
      <c r="CX1448" s="7"/>
      <c r="CY1448" s="7"/>
    </row>
    <row r="1449" ht="18.0" customHeight="1">
      <c r="A1449" s="287"/>
      <c r="B1449" s="373"/>
      <c r="C1449" s="287"/>
      <c r="D1449" s="285"/>
      <c r="E1449" s="287"/>
      <c r="F1449" s="7"/>
      <c r="G1449" s="287"/>
      <c r="H1449" s="7"/>
      <c r="I1449" s="287"/>
      <c r="J1449" s="287"/>
      <c r="K1449" s="28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/>
      <c r="CW1449" s="7"/>
      <c r="CX1449" s="7"/>
      <c r="CY1449" s="7"/>
    </row>
    <row r="1450" ht="18.0" customHeight="1">
      <c r="A1450" s="287"/>
      <c r="B1450" s="373"/>
      <c r="C1450" s="287"/>
      <c r="D1450" s="285"/>
      <c r="E1450" s="287"/>
      <c r="F1450" s="7"/>
      <c r="G1450" s="287"/>
      <c r="H1450" s="7"/>
      <c r="I1450" s="287"/>
      <c r="J1450" s="287"/>
      <c r="K1450" s="28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/>
      <c r="CW1450" s="7"/>
      <c r="CX1450" s="7"/>
      <c r="CY1450" s="7"/>
    </row>
    <row r="1451" ht="18.0" customHeight="1">
      <c r="A1451" s="287"/>
      <c r="B1451" s="373"/>
      <c r="C1451" s="287"/>
      <c r="D1451" s="285"/>
      <c r="E1451" s="287"/>
      <c r="F1451" s="7"/>
      <c r="G1451" s="287"/>
      <c r="H1451" s="7"/>
      <c r="I1451" s="287"/>
      <c r="J1451" s="287"/>
      <c r="K1451" s="28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/>
      <c r="CW1451" s="7"/>
      <c r="CX1451" s="7"/>
      <c r="CY1451" s="7"/>
    </row>
    <row r="1452" ht="18.0" customHeight="1">
      <c r="A1452" s="287"/>
      <c r="B1452" s="373"/>
      <c r="C1452" s="287"/>
      <c r="D1452" s="285"/>
      <c r="E1452" s="287"/>
      <c r="F1452" s="7"/>
      <c r="G1452" s="287"/>
      <c r="H1452" s="7"/>
      <c r="I1452" s="287"/>
      <c r="J1452" s="287"/>
      <c r="K1452" s="28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/>
      <c r="CW1452" s="7"/>
      <c r="CX1452" s="7"/>
      <c r="CY1452" s="7"/>
    </row>
    <row r="1453" ht="18.0" customHeight="1">
      <c r="A1453" s="287"/>
      <c r="B1453" s="373"/>
      <c r="C1453" s="287"/>
      <c r="D1453" s="285"/>
      <c r="E1453" s="287"/>
      <c r="F1453" s="7"/>
      <c r="G1453" s="287"/>
      <c r="H1453" s="7"/>
      <c r="I1453" s="287"/>
      <c r="J1453" s="287"/>
      <c r="K1453" s="28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/>
      <c r="CW1453" s="7"/>
      <c r="CX1453" s="7"/>
      <c r="CY1453" s="7"/>
    </row>
    <row r="1454" ht="18.0" customHeight="1">
      <c r="A1454" s="287"/>
      <c r="B1454" s="373"/>
      <c r="C1454" s="287"/>
      <c r="D1454" s="285"/>
      <c r="E1454" s="287"/>
      <c r="F1454" s="7"/>
      <c r="G1454" s="287"/>
      <c r="H1454" s="7"/>
      <c r="I1454" s="287"/>
      <c r="J1454" s="287"/>
      <c r="K1454" s="28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/>
      <c r="CW1454" s="7"/>
      <c r="CX1454" s="7"/>
      <c r="CY1454" s="7"/>
    </row>
    <row r="1455" ht="18.0" customHeight="1">
      <c r="A1455" s="287"/>
      <c r="B1455" s="373"/>
      <c r="C1455" s="287"/>
      <c r="D1455" s="285"/>
      <c r="E1455" s="287"/>
      <c r="F1455" s="7"/>
      <c r="G1455" s="287"/>
      <c r="H1455" s="7"/>
      <c r="I1455" s="287"/>
      <c r="J1455" s="287"/>
      <c r="K1455" s="28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/>
      <c r="CW1455" s="7"/>
      <c r="CX1455" s="7"/>
      <c r="CY1455" s="7"/>
    </row>
    <row r="1456" ht="18.0" customHeight="1">
      <c r="A1456" s="287"/>
      <c r="B1456" s="373"/>
      <c r="C1456" s="287"/>
      <c r="D1456" s="285"/>
      <c r="E1456" s="287"/>
      <c r="F1456" s="7"/>
      <c r="G1456" s="287"/>
      <c r="H1456" s="7"/>
      <c r="I1456" s="287"/>
      <c r="J1456" s="287"/>
      <c r="K1456" s="28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/>
      <c r="CW1456" s="7"/>
      <c r="CX1456" s="7"/>
      <c r="CY1456" s="7"/>
    </row>
    <row r="1457" ht="18.0" customHeight="1">
      <c r="A1457" s="287"/>
      <c r="B1457" s="373"/>
      <c r="C1457" s="287"/>
      <c r="D1457" s="285"/>
      <c r="E1457" s="287"/>
      <c r="F1457" s="7"/>
      <c r="G1457" s="287"/>
      <c r="H1457" s="7"/>
      <c r="I1457" s="287"/>
      <c r="J1457" s="287"/>
      <c r="K1457" s="28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/>
      <c r="CW1457" s="7"/>
      <c r="CX1457" s="7"/>
      <c r="CY1457" s="7"/>
    </row>
    <row r="1458" ht="18.0" customHeight="1">
      <c r="A1458" s="287"/>
      <c r="B1458" s="373"/>
      <c r="C1458" s="287"/>
      <c r="D1458" s="285"/>
      <c r="E1458" s="287"/>
      <c r="F1458" s="7"/>
      <c r="G1458" s="287"/>
      <c r="H1458" s="7"/>
      <c r="I1458" s="287"/>
      <c r="J1458" s="287"/>
      <c r="K1458" s="28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/>
      <c r="CW1458" s="7"/>
      <c r="CX1458" s="7"/>
      <c r="CY1458" s="7"/>
    </row>
    <row r="1459" ht="18.0" customHeight="1">
      <c r="A1459" s="287"/>
      <c r="B1459" s="373"/>
      <c r="C1459" s="287"/>
      <c r="D1459" s="285"/>
      <c r="E1459" s="287"/>
      <c r="F1459" s="7"/>
      <c r="G1459" s="287"/>
      <c r="H1459" s="7"/>
      <c r="I1459" s="287"/>
      <c r="J1459" s="287"/>
      <c r="K1459" s="28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/>
      <c r="CW1459" s="7"/>
      <c r="CX1459" s="7"/>
      <c r="CY1459" s="7"/>
    </row>
    <row r="1460" ht="18.0" customHeight="1">
      <c r="A1460" s="287"/>
      <c r="B1460" s="373"/>
      <c r="C1460" s="287"/>
      <c r="D1460" s="285"/>
      <c r="E1460" s="287"/>
      <c r="F1460" s="7"/>
      <c r="G1460" s="287"/>
      <c r="H1460" s="7"/>
      <c r="I1460" s="287"/>
      <c r="J1460" s="287"/>
      <c r="K1460" s="28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/>
      <c r="CW1460" s="7"/>
      <c r="CX1460" s="7"/>
      <c r="CY1460" s="7"/>
    </row>
    <row r="1461" ht="18.0" customHeight="1">
      <c r="A1461" s="287"/>
      <c r="B1461" s="373"/>
      <c r="C1461" s="287"/>
      <c r="D1461" s="285"/>
      <c r="E1461" s="287"/>
      <c r="F1461" s="7"/>
      <c r="G1461" s="287"/>
      <c r="H1461" s="7"/>
      <c r="I1461" s="287"/>
      <c r="J1461" s="287"/>
      <c r="K1461" s="28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/>
      <c r="CW1461" s="7"/>
      <c r="CX1461" s="7"/>
      <c r="CY1461" s="7"/>
    </row>
    <row r="1462" ht="18.0" customHeight="1">
      <c r="A1462" s="287"/>
      <c r="B1462" s="373"/>
      <c r="C1462" s="287"/>
      <c r="D1462" s="285"/>
      <c r="E1462" s="287"/>
      <c r="F1462" s="7"/>
      <c r="G1462" s="287"/>
      <c r="H1462" s="7"/>
      <c r="I1462" s="287"/>
      <c r="J1462" s="287"/>
      <c r="K1462" s="28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/>
      <c r="CW1462" s="7"/>
      <c r="CX1462" s="7"/>
      <c r="CY1462" s="7"/>
    </row>
    <row r="1463" ht="18.0" customHeight="1">
      <c r="A1463" s="287"/>
      <c r="B1463" s="373"/>
      <c r="C1463" s="287"/>
      <c r="D1463" s="285"/>
      <c r="E1463" s="287"/>
      <c r="F1463" s="7"/>
      <c r="G1463" s="287"/>
      <c r="H1463" s="7"/>
      <c r="I1463" s="287"/>
      <c r="J1463" s="287"/>
      <c r="K1463" s="28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/>
      <c r="CW1463" s="7"/>
      <c r="CX1463" s="7"/>
      <c r="CY1463" s="7"/>
    </row>
    <row r="1464" ht="18.0" customHeight="1">
      <c r="A1464" s="287"/>
      <c r="B1464" s="373"/>
      <c r="C1464" s="287"/>
      <c r="D1464" s="285"/>
      <c r="E1464" s="287"/>
      <c r="F1464" s="7"/>
      <c r="G1464" s="287"/>
      <c r="H1464" s="7"/>
      <c r="I1464" s="287"/>
      <c r="J1464" s="287"/>
      <c r="K1464" s="28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/>
      <c r="CW1464" s="7"/>
      <c r="CX1464" s="7"/>
      <c r="CY1464" s="7"/>
    </row>
    <row r="1465" ht="18.0" customHeight="1">
      <c r="A1465" s="287"/>
      <c r="B1465" s="373"/>
      <c r="C1465" s="287"/>
      <c r="D1465" s="285"/>
      <c r="E1465" s="287"/>
      <c r="F1465" s="7"/>
      <c r="G1465" s="287"/>
      <c r="H1465" s="7"/>
      <c r="I1465" s="287"/>
      <c r="J1465" s="287"/>
      <c r="K1465" s="28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/>
      <c r="CW1465" s="7"/>
      <c r="CX1465" s="7"/>
      <c r="CY1465" s="7"/>
    </row>
    <row r="1466" ht="18.0" customHeight="1">
      <c r="A1466" s="287"/>
      <c r="B1466" s="373"/>
      <c r="C1466" s="287"/>
      <c r="D1466" s="285"/>
      <c r="E1466" s="287"/>
      <c r="F1466" s="7"/>
      <c r="G1466" s="287"/>
      <c r="H1466" s="7"/>
      <c r="I1466" s="287"/>
      <c r="J1466" s="287"/>
      <c r="K1466" s="28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/>
      <c r="CW1466" s="7"/>
      <c r="CX1466" s="7"/>
      <c r="CY1466" s="7"/>
    </row>
    <row r="1467" ht="18.0" customHeight="1">
      <c r="A1467" s="287"/>
      <c r="B1467" s="373"/>
      <c r="C1467" s="287"/>
      <c r="D1467" s="285"/>
      <c r="E1467" s="287"/>
      <c r="F1467" s="7"/>
      <c r="G1467" s="287"/>
      <c r="H1467" s="7"/>
      <c r="I1467" s="287"/>
      <c r="J1467" s="287"/>
      <c r="K1467" s="28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/>
      <c r="CW1467" s="7"/>
      <c r="CX1467" s="7"/>
      <c r="CY1467" s="7"/>
    </row>
    <row r="1468" ht="18.0" customHeight="1">
      <c r="A1468" s="287"/>
      <c r="B1468" s="373"/>
      <c r="C1468" s="287"/>
      <c r="D1468" s="285"/>
      <c r="E1468" s="287"/>
      <c r="F1468" s="7"/>
      <c r="G1468" s="287"/>
      <c r="H1468" s="7"/>
      <c r="I1468" s="287"/>
      <c r="J1468" s="287"/>
      <c r="K1468" s="28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/>
      <c r="CW1468" s="7"/>
      <c r="CX1468" s="7"/>
      <c r="CY1468" s="7"/>
    </row>
    <row r="1469" ht="18.0" customHeight="1">
      <c r="A1469" s="287"/>
      <c r="B1469" s="373"/>
      <c r="C1469" s="287"/>
      <c r="D1469" s="285"/>
      <c r="E1469" s="287"/>
      <c r="F1469" s="7"/>
      <c r="G1469" s="287"/>
      <c r="H1469" s="7"/>
      <c r="I1469" s="287"/>
      <c r="J1469" s="287"/>
      <c r="K1469" s="28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/>
      <c r="CW1469" s="7"/>
      <c r="CX1469" s="7"/>
      <c r="CY1469" s="7"/>
    </row>
    <row r="1470" ht="18.0" customHeight="1">
      <c r="A1470" s="287"/>
      <c r="B1470" s="373"/>
      <c r="C1470" s="287"/>
      <c r="D1470" s="285"/>
      <c r="E1470" s="287"/>
      <c r="F1470" s="7"/>
      <c r="G1470" s="287"/>
      <c r="H1470" s="7"/>
      <c r="I1470" s="287"/>
      <c r="J1470" s="287"/>
      <c r="K1470" s="28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/>
      <c r="CW1470" s="7"/>
      <c r="CX1470" s="7"/>
      <c r="CY1470" s="7"/>
    </row>
    <row r="1471" ht="18.0" customHeight="1">
      <c r="A1471" s="287"/>
      <c r="B1471" s="373"/>
      <c r="C1471" s="287"/>
      <c r="D1471" s="285"/>
      <c r="E1471" s="287"/>
      <c r="F1471" s="7"/>
      <c r="G1471" s="287"/>
      <c r="H1471" s="7"/>
      <c r="I1471" s="287"/>
      <c r="J1471" s="287"/>
      <c r="K1471" s="28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/>
      <c r="CW1471" s="7"/>
      <c r="CX1471" s="7"/>
      <c r="CY1471" s="7"/>
    </row>
    <row r="1472" ht="18.0" customHeight="1">
      <c r="A1472" s="287"/>
      <c r="B1472" s="373"/>
      <c r="C1472" s="287"/>
      <c r="D1472" s="285"/>
      <c r="E1472" s="287"/>
      <c r="F1472" s="7"/>
      <c r="G1472" s="287"/>
      <c r="H1472" s="7"/>
      <c r="I1472" s="287"/>
      <c r="J1472" s="287"/>
      <c r="K1472" s="28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/>
      <c r="CW1472" s="7"/>
      <c r="CX1472" s="7"/>
      <c r="CY1472" s="7"/>
    </row>
    <row r="1473" ht="18.0" customHeight="1">
      <c r="A1473" s="287"/>
      <c r="B1473" s="373"/>
      <c r="C1473" s="287"/>
      <c r="D1473" s="285"/>
      <c r="E1473" s="287"/>
      <c r="F1473" s="7"/>
      <c r="G1473" s="287"/>
      <c r="H1473" s="7"/>
      <c r="I1473" s="287"/>
      <c r="J1473" s="287"/>
      <c r="K1473" s="28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/>
      <c r="CW1473" s="7"/>
      <c r="CX1473" s="7"/>
      <c r="CY1473" s="7"/>
    </row>
    <row r="1474" ht="18.0" customHeight="1">
      <c r="A1474" s="287"/>
      <c r="B1474" s="373"/>
      <c r="C1474" s="287"/>
      <c r="D1474" s="285"/>
      <c r="E1474" s="287"/>
      <c r="F1474" s="7"/>
      <c r="G1474" s="287"/>
      <c r="H1474" s="7"/>
      <c r="I1474" s="287"/>
      <c r="J1474" s="287"/>
      <c r="K1474" s="28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/>
      <c r="CW1474" s="7"/>
      <c r="CX1474" s="7"/>
      <c r="CY1474" s="7"/>
    </row>
    <row r="1475" ht="18.0" customHeight="1">
      <c r="A1475" s="287"/>
      <c r="B1475" s="373"/>
      <c r="C1475" s="287"/>
      <c r="D1475" s="285"/>
      <c r="E1475" s="287"/>
      <c r="F1475" s="7"/>
      <c r="G1475" s="287"/>
      <c r="H1475" s="7"/>
      <c r="I1475" s="287"/>
      <c r="J1475" s="287"/>
      <c r="K1475" s="28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/>
      <c r="CW1475" s="7"/>
      <c r="CX1475" s="7"/>
      <c r="CY1475" s="7"/>
    </row>
    <row r="1476" ht="18.0" customHeight="1">
      <c r="A1476" s="287"/>
      <c r="B1476" s="373"/>
      <c r="C1476" s="287"/>
      <c r="D1476" s="285"/>
      <c r="E1476" s="287"/>
      <c r="F1476" s="7"/>
      <c r="G1476" s="287"/>
      <c r="H1476" s="7"/>
      <c r="I1476" s="287"/>
      <c r="J1476" s="287"/>
      <c r="K1476" s="28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/>
      <c r="CW1476" s="7"/>
      <c r="CX1476" s="7"/>
      <c r="CY1476" s="7"/>
    </row>
    <row r="1477" ht="18.0" customHeight="1">
      <c r="A1477" s="287"/>
      <c r="B1477" s="373"/>
      <c r="C1477" s="287"/>
      <c r="D1477" s="285"/>
      <c r="E1477" s="287"/>
      <c r="F1477" s="7"/>
      <c r="G1477" s="287"/>
      <c r="H1477" s="7"/>
      <c r="I1477" s="287"/>
      <c r="J1477" s="287"/>
      <c r="K1477" s="28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/>
      <c r="CW1477" s="7"/>
      <c r="CX1477" s="7"/>
      <c r="CY1477" s="7"/>
    </row>
    <row r="1478" ht="18.0" customHeight="1">
      <c r="A1478" s="287"/>
      <c r="B1478" s="373"/>
      <c r="C1478" s="287"/>
      <c r="D1478" s="285"/>
      <c r="E1478" s="287"/>
      <c r="F1478" s="7"/>
      <c r="G1478" s="287"/>
      <c r="H1478" s="7"/>
      <c r="I1478" s="287"/>
      <c r="J1478" s="287"/>
      <c r="K1478" s="28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  <c r="CV1478" s="7"/>
      <c r="CW1478" s="7"/>
      <c r="CX1478" s="7"/>
      <c r="CY1478" s="7"/>
    </row>
    <row r="1479" ht="18.0" customHeight="1">
      <c r="A1479" s="287"/>
      <c r="B1479" s="373"/>
      <c r="C1479" s="287"/>
      <c r="D1479" s="285"/>
      <c r="E1479" s="287"/>
      <c r="F1479" s="7"/>
      <c r="G1479" s="287"/>
      <c r="H1479" s="7"/>
      <c r="I1479" s="287"/>
      <c r="J1479" s="287"/>
      <c r="K1479" s="28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/>
      <c r="CW1479" s="7"/>
      <c r="CX1479" s="7"/>
      <c r="CY1479" s="7"/>
    </row>
    <row r="1480" ht="18.0" customHeight="1">
      <c r="A1480" s="287"/>
      <c r="B1480" s="373"/>
      <c r="C1480" s="287"/>
      <c r="D1480" s="285"/>
      <c r="E1480" s="287"/>
      <c r="F1480" s="7"/>
      <c r="G1480" s="287"/>
      <c r="H1480" s="7"/>
      <c r="I1480" s="287"/>
      <c r="J1480" s="287"/>
      <c r="K1480" s="28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/>
      <c r="CW1480" s="7"/>
      <c r="CX1480" s="7"/>
      <c r="CY1480" s="7"/>
    </row>
    <row r="1481" ht="18.0" customHeight="1">
      <c r="A1481" s="287"/>
      <c r="B1481" s="373"/>
      <c r="C1481" s="287"/>
      <c r="D1481" s="285"/>
      <c r="E1481" s="287"/>
      <c r="F1481" s="7"/>
      <c r="G1481" s="287"/>
      <c r="H1481" s="7"/>
      <c r="I1481" s="287"/>
      <c r="J1481" s="287"/>
      <c r="K1481" s="28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7"/>
      <c r="CW1481" s="7"/>
      <c r="CX1481" s="7"/>
      <c r="CY1481" s="7"/>
    </row>
    <row r="1482" ht="18.0" customHeight="1">
      <c r="A1482" s="287"/>
      <c r="B1482" s="373"/>
      <c r="C1482" s="287"/>
      <c r="D1482" s="285"/>
      <c r="E1482" s="287"/>
      <c r="F1482" s="7"/>
      <c r="G1482" s="287"/>
      <c r="H1482" s="7"/>
      <c r="I1482" s="287"/>
      <c r="J1482" s="287"/>
      <c r="K1482" s="28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/>
      <c r="CW1482" s="7"/>
      <c r="CX1482" s="7"/>
      <c r="CY1482" s="7"/>
    </row>
    <row r="1483" ht="18.0" customHeight="1">
      <c r="A1483" s="287"/>
      <c r="B1483" s="373"/>
      <c r="C1483" s="287"/>
      <c r="D1483" s="285"/>
      <c r="E1483" s="287"/>
      <c r="F1483" s="7"/>
      <c r="G1483" s="287"/>
      <c r="H1483" s="7"/>
      <c r="I1483" s="287"/>
      <c r="J1483" s="287"/>
      <c r="K1483" s="28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/>
      <c r="CW1483" s="7"/>
      <c r="CX1483" s="7"/>
      <c r="CY1483" s="7"/>
    </row>
    <row r="1484" ht="18.0" customHeight="1">
      <c r="A1484" s="287"/>
      <c r="B1484" s="373"/>
      <c r="C1484" s="287"/>
      <c r="D1484" s="285"/>
      <c r="E1484" s="287"/>
      <c r="F1484" s="7"/>
      <c r="G1484" s="287"/>
      <c r="H1484" s="7"/>
      <c r="I1484" s="287"/>
      <c r="J1484" s="287"/>
      <c r="K1484" s="28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  <c r="CV1484" s="7"/>
      <c r="CW1484" s="7"/>
      <c r="CX1484" s="7"/>
      <c r="CY1484" s="7"/>
    </row>
    <row r="1485" ht="18.0" customHeight="1">
      <c r="A1485" s="287"/>
      <c r="B1485" s="373"/>
      <c r="C1485" s="287"/>
      <c r="D1485" s="285"/>
      <c r="E1485" s="287"/>
      <c r="F1485" s="7"/>
      <c r="G1485" s="287"/>
      <c r="H1485" s="7"/>
      <c r="I1485" s="287"/>
      <c r="J1485" s="287"/>
      <c r="K1485" s="28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7"/>
      <c r="CW1485" s="7"/>
      <c r="CX1485" s="7"/>
      <c r="CY1485" s="7"/>
    </row>
    <row r="1486" ht="18.0" customHeight="1">
      <c r="A1486" s="287"/>
      <c r="B1486" s="373"/>
      <c r="C1486" s="287"/>
      <c r="D1486" s="285"/>
      <c r="E1486" s="287"/>
      <c r="F1486" s="7"/>
      <c r="G1486" s="287"/>
      <c r="H1486" s="7"/>
      <c r="I1486" s="287"/>
      <c r="J1486" s="287"/>
      <c r="K1486" s="28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/>
      <c r="CW1486" s="7"/>
      <c r="CX1486" s="7"/>
      <c r="CY1486" s="7"/>
    </row>
    <row r="1487" ht="18.0" customHeight="1">
      <c r="A1487" s="287"/>
      <c r="B1487" s="373"/>
      <c r="C1487" s="287"/>
      <c r="D1487" s="285"/>
      <c r="E1487" s="287"/>
      <c r="F1487" s="7"/>
      <c r="G1487" s="287"/>
      <c r="H1487" s="7"/>
      <c r="I1487" s="287"/>
      <c r="J1487" s="287"/>
      <c r="K1487" s="28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7"/>
      <c r="CW1487" s="7"/>
      <c r="CX1487" s="7"/>
      <c r="CY1487" s="7"/>
    </row>
    <row r="1488" ht="18.0" customHeight="1">
      <c r="A1488" s="287"/>
      <c r="B1488" s="373"/>
      <c r="C1488" s="287"/>
      <c r="D1488" s="285"/>
      <c r="E1488" s="287"/>
      <c r="F1488" s="7"/>
      <c r="G1488" s="287"/>
      <c r="H1488" s="7"/>
      <c r="I1488" s="287"/>
      <c r="J1488" s="287"/>
      <c r="K1488" s="28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/>
      <c r="CW1488" s="7"/>
      <c r="CX1488" s="7"/>
      <c r="CY1488" s="7"/>
    </row>
  </sheetData>
  <printOptions/>
  <pageMargins bottom="0.75" footer="0.0" header="0.0" left="0.7" right="0.7" top="0.75"/>
  <pageSetup orientation="landscape"/>
  <drawing r:id="rId1"/>
  <tableParts count="365"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  <tablePart r:id="rId458"/>
    <tablePart r:id="rId459"/>
    <tablePart r:id="rId460"/>
    <tablePart r:id="rId461"/>
    <tablePart r:id="rId462"/>
    <tablePart r:id="rId463"/>
    <tablePart r:id="rId464"/>
    <tablePart r:id="rId465"/>
    <tablePart r:id="rId466"/>
    <tablePart r:id="rId467"/>
    <tablePart r:id="rId468"/>
    <tablePart r:id="rId469"/>
    <tablePart r:id="rId470"/>
    <tablePart r:id="rId471"/>
    <tablePart r:id="rId472"/>
    <tablePart r:id="rId473"/>
    <tablePart r:id="rId474"/>
    <tablePart r:id="rId475"/>
    <tablePart r:id="rId476"/>
    <tablePart r:id="rId477"/>
    <tablePart r:id="rId478"/>
    <tablePart r:id="rId479"/>
    <tablePart r:id="rId480"/>
    <tablePart r:id="rId481"/>
    <tablePart r:id="rId482"/>
    <tablePart r:id="rId483"/>
    <tablePart r:id="rId484"/>
    <tablePart r:id="rId485"/>
    <tablePart r:id="rId486"/>
    <tablePart r:id="rId487"/>
    <tablePart r:id="rId488"/>
    <tablePart r:id="rId489"/>
    <tablePart r:id="rId490"/>
    <tablePart r:id="rId491"/>
    <tablePart r:id="rId492"/>
    <tablePart r:id="rId493"/>
    <tablePart r:id="rId494"/>
    <tablePart r:id="rId495"/>
    <tablePart r:id="rId496"/>
    <tablePart r:id="rId497"/>
    <tablePart r:id="rId498"/>
    <tablePart r:id="rId499"/>
    <tablePart r:id="rId500"/>
    <tablePart r:id="rId501"/>
    <tablePart r:id="rId502"/>
    <tablePart r:id="rId503"/>
    <tablePart r:id="rId504"/>
    <tablePart r:id="rId505"/>
    <tablePart r:id="rId506"/>
    <tablePart r:id="rId507"/>
    <tablePart r:id="rId508"/>
    <tablePart r:id="rId509"/>
    <tablePart r:id="rId510"/>
    <tablePart r:id="rId511"/>
    <tablePart r:id="rId512"/>
    <tablePart r:id="rId513"/>
    <tablePart r:id="rId514"/>
    <tablePart r:id="rId515"/>
    <tablePart r:id="rId516"/>
    <tablePart r:id="rId517"/>
    <tablePart r:id="rId518"/>
    <tablePart r:id="rId519"/>
    <tablePart r:id="rId520"/>
    <tablePart r:id="rId521"/>
    <tablePart r:id="rId522"/>
    <tablePart r:id="rId523"/>
    <tablePart r:id="rId524"/>
    <tablePart r:id="rId525"/>
    <tablePart r:id="rId526"/>
    <tablePart r:id="rId527"/>
    <tablePart r:id="rId528"/>
    <tablePart r:id="rId529"/>
    <tablePart r:id="rId530"/>
    <tablePart r:id="rId531"/>
    <tablePart r:id="rId532"/>
    <tablePart r:id="rId533"/>
    <tablePart r:id="rId534"/>
    <tablePart r:id="rId535"/>
    <tablePart r:id="rId536"/>
    <tablePart r:id="rId537"/>
    <tablePart r:id="rId538"/>
    <tablePart r:id="rId539"/>
    <tablePart r:id="rId540"/>
    <tablePart r:id="rId541"/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  <tablePart r:id="rId566"/>
    <tablePart r:id="rId567"/>
    <tablePart r:id="rId568"/>
    <tablePart r:id="rId569"/>
    <tablePart r:id="rId570"/>
    <tablePart r:id="rId571"/>
    <tablePart r:id="rId572"/>
    <tablePart r:id="rId573"/>
    <tablePart r:id="rId574"/>
    <tablePart r:id="rId575"/>
    <tablePart r:id="rId576"/>
    <tablePart r:id="rId577"/>
    <tablePart r:id="rId578"/>
    <tablePart r:id="rId579"/>
    <tablePart r:id="rId580"/>
    <tablePart r:id="rId581"/>
    <tablePart r:id="rId582"/>
    <tablePart r:id="rId583"/>
    <tablePart r:id="rId584"/>
    <tablePart r:id="rId585"/>
    <tablePart r:id="rId586"/>
    <tablePart r:id="rId587"/>
    <tablePart r:id="rId588"/>
    <tablePart r:id="rId589"/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  <tablePart r:id="rId638"/>
    <tablePart r:id="rId639"/>
    <tablePart r:id="rId640"/>
    <tablePart r:id="rId641"/>
    <tablePart r:id="rId642"/>
    <tablePart r:id="rId643"/>
    <tablePart r:id="rId644"/>
    <tablePart r:id="rId645"/>
    <tablePart r:id="rId646"/>
    <tablePart r:id="rId647"/>
    <tablePart r:id="rId648"/>
    <tablePart r:id="rId649"/>
    <tablePart r:id="rId650"/>
    <tablePart r:id="rId651"/>
    <tablePart r:id="rId652"/>
    <tablePart r:id="rId653"/>
    <tablePart r:id="rId654"/>
    <tablePart r:id="rId655"/>
    <tablePart r:id="rId656"/>
    <tablePart r:id="rId657"/>
    <tablePart r:id="rId658"/>
    <tablePart r:id="rId659"/>
    <tablePart r:id="rId660"/>
    <tablePart r:id="rId661"/>
    <tablePart r:id="rId662"/>
    <tablePart r:id="rId663"/>
    <tablePart r:id="rId664"/>
    <tablePart r:id="rId665"/>
    <tablePart r:id="rId666"/>
    <tablePart r:id="rId667"/>
    <tablePart r:id="rId668"/>
    <tablePart r:id="rId669"/>
    <tablePart r:id="rId670"/>
    <tablePart r:id="rId671"/>
    <tablePart r:id="rId672"/>
    <tablePart r:id="rId673"/>
    <tablePart r:id="rId674"/>
    <tablePart r:id="rId675"/>
    <tablePart r:id="rId676"/>
    <tablePart r:id="rId677"/>
    <tablePart r:id="rId678"/>
    <tablePart r:id="rId679"/>
    <tablePart r:id="rId680"/>
    <tablePart r:id="rId681"/>
    <tablePart r:id="rId682"/>
    <tablePart r:id="rId683"/>
    <tablePart r:id="rId684"/>
    <tablePart r:id="rId685"/>
    <tablePart r:id="rId686"/>
    <tablePart r:id="rId687"/>
    <tablePart r:id="rId688"/>
    <tablePart r:id="rId689"/>
    <tablePart r:id="rId690"/>
    <tablePart r:id="rId691"/>
    <tablePart r:id="rId692"/>
    <tablePart r:id="rId693"/>
    <tablePart r:id="rId694"/>
    <tablePart r:id="rId695"/>
    <tablePart r:id="rId696"/>
    <tablePart r:id="rId697"/>
    <tablePart r:id="rId698"/>
    <tablePart r:id="rId699"/>
    <tablePart r:id="rId700"/>
    <tablePart r:id="rId701"/>
    <tablePart r:id="rId702"/>
    <tablePart r:id="rId703"/>
    <tablePart r:id="rId704"/>
    <tablePart r:id="rId705"/>
    <tablePart r:id="rId706"/>
    <tablePart r:id="rId707"/>
    <tablePart r:id="rId708"/>
    <tablePart r:id="rId709"/>
    <tablePart r:id="rId710"/>
    <tablePart r:id="rId711"/>
    <tablePart r:id="rId712"/>
    <tablePart r:id="rId713"/>
    <tablePart r:id="rId714"/>
    <tablePart r:id="rId715"/>
    <tablePart r:id="rId716"/>
    <tablePart r:id="rId717"/>
    <tablePart r:id="rId718"/>
    <tablePart r:id="rId719"/>
    <tablePart r:id="rId720"/>
    <tablePart r:id="rId721"/>
    <tablePart r:id="rId722"/>
    <tablePart r:id="rId723"/>
    <tablePart r:id="rId724"/>
    <tablePart r:id="rId725"/>
    <tablePart r:id="rId726"/>
    <tablePart r:id="rId727"/>
    <tablePart r:id="rId728"/>
    <tablePart r:id="rId729"/>
    <tablePart r:id="rId730"/>
    <tablePart r:id="rId7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8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6" t="s">
        <v>9</v>
      </c>
      <c r="K1" s="6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</row>
    <row r="2">
      <c r="A2" s="374" t="s">
        <v>369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</row>
    <row r="3">
      <c r="A3" s="374" t="s">
        <v>369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</row>
    <row r="4">
      <c r="A4" s="374" t="s">
        <v>369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</row>
    <row r="5">
      <c r="A5" s="374" t="s">
        <v>369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</row>
    <row r="6">
      <c r="A6" s="374" t="s">
        <v>369</v>
      </c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</row>
    <row r="7">
      <c r="A7" s="374" t="s">
        <v>369</v>
      </c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</row>
    <row r="8">
      <c r="A8" s="374" t="s">
        <v>369</v>
      </c>
      <c r="B8" s="375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</row>
    <row r="9">
      <c r="A9" s="374" t="s">
        <v>369</v>
      </c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</row>
    <row r="10">
      <c r="A10" s="374" t="s">
        <v>369</v>
      </c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5"/>
      <c r="P10" s="375"/>
    </row>
    <row r="11">
      <c r="A11" s="374" t="s">
        <v>369</v>
      </c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</row>
    <row r="12">
      <c r="A12" s="374" t="s">
        <v>369</v>
      </c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</row>
    <row r="13">
      <c r="A13" s="374" t="s">
        <v>369</v>
      </c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375"/>
      <c r="P13" s="375"/>
    </row>
    <row r="14">
      <c r="A14" s="374" t="s">
        <v>369</v>
      </c>
      <c r="B14" s="375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</row>
    <row r="15">
      <c r="A15" s="374" t="s">
        <v>369</v>
      </c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  <c r="P15" s="375"/>
    </row>
    <row r="16">
      <c r="A16" s="374" t="s">
        <v>369</v>
      </c>
      <c r="B16" s="375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375"/>
      <c r="P16" s="375"/>
    </row>
    <row r="17">
      <c r="A17" s="374" t="s">
        <v>369</v>
      </c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</row>
    <row r="18">
      <c r="A18" s="374" t="s">
        <v>369</v>
      </c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</row>
    <row r="19">
      <c r="A19" s="374" t="s">
        <v>369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</row>
    <row r="20">
      <c r="A20" s="374" t="s">
        <v>369</v>
      </c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  <c r="O20" s="375"/>
      <c r="P20" s="375"/>
    </row>
    <row r="21">
      <c r="A21" s="374" t="s">
        <v>369</v>
      </c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</row>
    <row r="22">
      <c r="A22" s="374" t="s">
        <v>369</v>
      </c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</row>
    <row r="23">
      <c r="A23" s="374" t="s">
        <v>369</v>
      </c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</row>
    <row r="24">
      <c r="A24" s="374" t="s">
        <v>369</v>
      </c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75"/>
    </row>
    <row r="25">
      <c r="A25" s="374" t="s">
        <v>369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</row>
    <row r="26">
      <c r="A26" s="374" t="s">
        <v>369</v>
      </c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8.29"/>
    <col customWidth="1" min="3" max="3" width="10.71"/>
    <col customWidth="1" min="4" max="4" width="32.0"/>
    <col customWidth="1" min="5" max="26" width="10.71"/>
  </cols>
  <sheetData>
    <row r="2" ht="18.75" customHeight="1">
      <c r="B2" s="376" t="s">
        <v>1043</v>
      </c>
      <c r="C2" s="377" t="s">
        <v>20</v>
      </c>
      <c r="D2" s="378" t="s">
        <v>1044</v>
      </c>
      <c r="E2" s="379"/>
      <c r="F2" s="379"/>
      <c r="G2" s="379"/>
      <c r="H2" s="380"/>
    </row>
    <row r="3" ht="18.75" customHeight="1">
      <c r="B3" s="381" t="s">
        <v>353</v>
      </c>
      <c r="C3" s="382">
        <v>120000.0</v>
      </c>
      <c r="D3" s="383" t="s">
        <v>1045</v>
      </c>
      <c r="E3" s="384"/>
      <c r="F3" s="384"/>
      <c r="G3" s="384"/>
      <c r="H3" s="385"/>
    </row>
    <row r="4" ht="18.75" customHeight="1">
      <c r="B4" s="381" t="s">
        <v>475</v>
      </c>
      <c r="C4" s="386">
        <v>120.0</v>
      </c>
      <c r="D4" s="387"/>
      <c r="H4" s="388"/>
    </row>
    <row r="5" ht="18.75" customHeight="1">
      <c r="B5" s="381" t="s">
        <v>1046</v>
      </c>
      <c r="C5" s="386">
        <v>150.0</v>
      </c>
      <c r="D5" s="387"/>
      <c r="H5" s="388"/>
    </row>
    <row r="6" ht="18.75" customHeight="1">
      <c r="B6" s="381" t="s">
        <v>1047</v>
      </c>
      <c r="C6" s="386">
        <v>100.0</v>
      </c>
      <c r="D6" s="387"/>
      <c r="H6" s="388"/>
    </row>
    <row r="7" ht="18.75" customHeight="1">
      <c r="B7" s="381" t="s">
        <v>1048</v>
      </c>
      <c r="C7" s="386">
        <v>150.0</v>
      </c>
      <c r="D7" s="387"/>
      <c r="H7" s="388"/>
    </row>
    <row r="8" ht="18.75" customHeight="1">
      <c r="B8" s="381" t="s">
        <v>1049</v>
      </c>
      <c r="C8" s="386">
        <v>60.0</v>
      </c>
      <c r="D8" s="387"/>
      <c r="H8" s="388"/>
    </row>
    <row r="9" ht="18.75" customHeight="1">
      <c r="B9" s="381" t="s">
        <v>1050</v>
      </c>
      <c r="C9" s="386">
        <v>200.0</v>
      </c>
      <c r="D9" s="389"/>
      <c r="E9" s="390"/>
      <c r="F9" s="390"/>
      <c r="G9" s="390"/>
      <c r="H9" s="391"/>
    </row>
    <row r="10" ht="18.75" customHeight="1">
      <c r="B10" s="376" t="s">
        <v>1051</v>
      </c>
      <c r="C10" s="377" t="s">
        <v>20</v>
      </c>
      <c r="D10" s="392" t="s">
        <v>72</v>
      </c>
      <c r="E10" s="393" t="s">
        <v>1044</v>
      </c>
      <c r="F10" s="379"/>
      <c r="G10" s="379"/>
      <c r="H10" s="380"/>
    </row>
    <row r="11" ht="18.75" customHeight="1">
      <c r="B11" s="381" t="s">
        <v>1052</v>
      </c>
      <c r="C11" s="394">
        <v>190.0</v>
      </c>
      <c r="D11" s="386">
        <v>680.0</v>
      </c>
      <c r="E11" s="395">
        <v>550000.0</v>
      </c>
      <c r="F11" s="384"/>
      <c r="G11" s="384"/>
      <c r="H11" s="385"/>
    </row>
    <row r="12" ht="18.75" customHeight="1">
      <c r="B12" s="381" t="s">
        <v>55</v>
      </c>
      <c r="C12" s="394">
        <v>190.0</v>
      </c>
      <c r="D12" s="386">
        <v>680.0</v>
      </c>
      <c r="E12" s="387"/>
      <c r="H12" s="388"/>
    </row>
    <row r="13" ht="18.75" customHeight="1">
      <c r="B13" s="381" t="s">
        <v>1053</v>
      </c>
      <c r="C13" s="394">
        <v>190.0</v>
      </c>
      <c r="D13" s="386">
        <v>680.0</v>
      </c>
      <c r="E13" s="387"/>
      <c r="H13" s="388"/>
    </row>
    <row r="14" ht="18.75" customHeight="1">
      <c r="B14" s="381" t="s">
        <v>1054</v>
      </c>
      <c r="C14" s="394">
        <v>190.0</v>
      </c>
      <c r="D14" s="386">
        <v>680.0</v>
      </c>
      <c r="E14" s="387"/>
      <c r="H14" s="388"/>
    </row>
    <row r="15" ht="18.75" customHeight="1">
      <c r="B15" s="381" t="s">
        <v>1055</v>
      </c>
      <c r="C15" s="396">
        <v>190.0</v>
      </c>
      <c r="D15" s="386">
        <v>680.0</v>
      </c>
      <c r="E15" s="387"/>
      <c r="H15" s="388"/>
      <c r="K15" s="397"/>
    </row>
    <row r="16" ht="18.75" customHeight="1">
      <c r="B16" s="381" t="s">
        <v>363</v>
      </c>
      <c r="C16" s="394">
        <v>190.0</v>
      </c>
      <c r="D16" s="386">
        <v>680.0</v>
      </c>
      <c r="E16" s="387"/>
      <c r="H16" s="388"/>
    </row>
    <row r="17" ht="18.75" customHeight="1">
      <c r="B17" s="381" t="s">
        <v>1056</v>
      </c>
      <c r="C17" s="394">
        <v>190.0</v>
      </c>
      <c r="D17" s="386">
        <v>680.0</v>
      </c>
      <c r="E17" s="389"/>
      <c r="F17" s="390"/>
      <c r="G17" s="390"/>
      <c r="H17" s="391"/>
    </row>
    <row r="18" ht="18.75" customHeight="1">
      <c r="B18" s="376" t="s">
        <v>1051</v>
      </c>
      <c r="C18" s="377" t="s">
        <v>20</v>
      </c>
      <c r="D18" s="392" t="s">
        <v>72</v>
      </c>
      <c r="E18" s="393" t="s">
        <v>1044</v>
      </c>
      <c r="F18" s="379"/>
      <c r="G18" s="379"/>
      <c r="H18" s="380"/>
    </row>
    <row r="19" ht="18.75" customHeight="1">
      <c r="B19" s="381" t="s">
        <v>1057</v>
      </c>
      <c r="C19" s="394">
        <v>210.0</v>
      </c>
      <c r="D19" s="386">
        <v>760.0</v>
      </c>
      <c r="E19" s="398">
        <v>550000.0</v>
      </c>
      <c r="F19" s="384"/>
      <c r="G19" s="384"/>
      <c r="H19" s="385"/>
    </row>
    <row r="20" ht="18.75" customHeight="1">
      <c r="B20" s="381" t="s">
        <v>1058</v>
      </c>
      <c r="C20" s="394">
        <v>210.0</v>
      </c>
      <c r="D20" s="386">
        <v>760.0</v>
      </c>
      <c r="E20" s="387"/>
      <c r="H20" s="388"/>
    </row>
    <row r="21" ht="18.75" customHeight="1">
      <c r="B21" s="381" t="s">
        <v>1059</v>
      </c>
      <c r="C21" s="394">
        <v>210.0</v>
      </c>
      <c r="D21" s="386">
        <v>760.0</v>
      </c>
      <c r="E21" s="387"/>
      <c r="H21" s="388"/>
    </row>
    <row r="22" ht="18.75" customHeight="1">
      <c r="B22" s="381" t="s">
        <v>1060</v>
      </c>
      <c r="C22" s="394">
        <v>210.0</v>
      </c>
      <c r="D22" s="386">
        <v>760.0</v>
      </c>
      <c r="E22" s="387"/>
      <c r="H22" s="388"/>
    </row>
    <row r="23" ht="18.75" customHeight="1">
      <c r="B23" s="381" t="s">
        <v>1061</v>
      </c>
      <c r="C23" s="394">
        <v>210.0</v>
      </c>
      <c r="D23" s="386">
        <v>760.0</v>
      </c>
      <c r="E23" s="387"/>
      <c r="H23" s="388"/>
    </row>
    <row r="24" ht="18.75" customHeight="1">
      <c r="B24" s="381" t="s">
        <v>1062</v>
      </c>
      <c r="C24" s="394">
        <v>210.0</v>
      </c>
      <c r="D24" s="386">
        <v>760.0</v>
      </c>
      <c r="E24" s="387"/>
      <c r="H24" s="388"/>
    </row>
    <row r="25" ht="18.75" customHeight="1">
      <c r="B25" s="381" t="s">
        <v>1063</v>
      </c>
      <c r="C25" s="394">
        <v>210.0</v>
      </c>
      <c r="D25" s="386">
        <v>760.0</v>
      </c>
      <c r="E25" s="387"/>
      <c r="H25" s="388"/>
    </row>
    <row r="26" ht="18.75" customHeight="1">
      <c r="B26" s="381" t="s">
        <v>1064</v>
      </c>
      <c r="C26" s="394">
        <v>210.0</v>
      </c>
      <c r="D26" s="386">
        <v>760.0</v>
      </c>
      <c r="E26" s="389"/>
      <c r="F26" s="390"/>
      <c r="G26" s="390"/>
      <c r="H26" s="391"/>
    </row>
    <row r="27" ht="18.75" customHeight="1">
      <c r="B27" s="381" t="s">
        <v>1065</v>
      </c>
      <c r="C27" s="396">
        <v>260.0</v>
      </c>
      <c r="D27" s="399">
        <v>950.0</v>
      </c>
      <c r="E27" s="400">
        <v>680000.0</v>
      </c>
      <c r="F27" s="379"/>
      <c r="G27" s="379"/>
      <c r="H27" s="380"/>
    </row>
    <row r="28" ht="18.75" customHeight="1">
      <c r="B28" s="401" t="s">
        <v>1066</v>
      </c>
      <c r="C28" s="394">
        <v>210.0</v>
      </c>
      <c r="D28" s="386">
        <v>760.0</v>
      </c>
      <c r="E28" s="402"/>
    </row>
    <row r="29" ht="18.75" customHeight="1">
      <c r="B29" s="381" t="s">
        <v>1067</v>
      </c>
      <c r="C29" s="394">
        <v>210.0</v>
      </c>
      <c r="D29" s="386">
        <v>760.0</v>
      </c>
    </row>
    <row r="30" ht="18.75" customHeight="1">
      <c r="B30" s="381" t="s">
        <v>1068</v>
      </c>
      <c r="C30" s="394">
        <v>220.0</v>
      </c>
      <c r="D30" s="386">
        <v>790.0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2:H2"/>
    <mergeCell ref="D3:H9"/>
    <mergeCell ref="E10:H10"/>
    <mergeCell ref="E11:H17"/>
    <mergeCell ref="E18:H18"/>
    <mergeCell ref="E19:H26"/>
    <mergeCell ref="E27:H27"/>
    <mergeCell ref="E28:G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2026-01-15T22:33:23Z</dcterms:created>
  <dc:creator>e18825</dc:creator>
</cp:coreProperties>
</file>